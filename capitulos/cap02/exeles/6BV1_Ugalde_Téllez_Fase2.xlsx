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<sst xmlns="http://schemas.openxmlformats.org/spreadsheetml/2006/main" count="24" uniqueCount="15">
  <si>
    <t>n</t>
  </si>
  <si>
    <t>x</t>
  </si>
  <si>
    <t>f(x)</t>
  </si>
  <si>
    <t>F(x)</t>
  </si>
  <si>
    <t>a0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</si>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</sst>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f(x)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'Hoja 1'!$A$4:$A$67</c:f>
            </c:strRef>
          </c:cat>
          <c:val>
            <c:numRef>
              <c:f>'Hoja 1'!$B$4:$B$67</c:f>
              <c:numCache/>
            </c:numRef>
          </c:val>
          <c:smooth val="0"/>
        </c:ser>
        <c:ser>
          <c:idx val="1"/>
          <c:order val="1"/>
          <c:tx>
            <c:v>F(x)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'Hoja 1'!$A$4:$A$67</c:f>
            </c:strRef>
          </c:cat>
          <c:val>
            <c:numRef>
              <c:f>'Hoja 1'!$C$4:$C$67</c:f>
              <c:numCache/>
            </c:numRef>
          </c:val>
          <c:smooth val="0"/>
        </c:ser>
        <c:axId val="370843652"/>
        <c:axId val="103718672"/>
      </c:lineChart>
      <c:catAx>
        <c:axId val="3708436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718672"/>
      </c:catAx>
      <c:valAx>
        <c:axId val="1037186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08436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f(x)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'Hoja 1'!$A$4:$A$67</c:f>
            </c:strRef>
          </c:cat>
          <c:val>
            <c:numRef>
              <c:f>'Hoja 1'!$B$4:$B$67</c:f>
              <c:numCache/>
            </c:numRef>
          </c:val>
          <c:smooth val="0"/>
        </c:ser>
        <c:axId val="1381631907"/>
        <c:axId val="1127068887"/>
      </c:lineChart>
      <c:catAx>
        <c:axId val="13816319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7068887"/>
      </c:catAx>
      <c:valAx>
        <c:axId val="11270688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16319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f(x)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'Hoja 1'!$A$4:$A$67</c:f>
            </c:strRef>
          </c:cat>
          <c:val>
            <c:numRef>
              <c:f>'Hoja 1'!$C$4:$C$67</c:f>
              <c:numCache/>
            </c:numRef>
          </c:val>
          <c:smooth val="0"/>
        </c:ser>
        <c:axId val="123407867"/>
        <c:axId val="153917429"/>
      </c:lineChart>
      <c:catAx>
        <c:axId val="1234078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917429"/>
      </c:catAx>
      <c:valAx>
        <c:axId val="1539174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4078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571500</xdr:colOff>
      <xdr:row>68</xdr:row>
      <xdr:rowOff>123825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57150</xdr:colOff>
      <xdr:row>91</xdr:row>
      <xdr:rowOff>95250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457200</xdr:colOff>
      <xdr:row>77</xdr:row>
      <xdr:rowOff>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228600</xdr:colOff>
      <xdr:row>72</xdr:row>
      <xdr:rowOff>180975</xdr:rowOff>
    </xdr:from>
    <xdr:ext cx="3295650" cy="733425"/>
    <xdr:pic>
      <xdr:nvPicPr>
        <xdr:cNvPr id="0" name="image1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N67" displayName="Tabla_1" name="Tabla_1" id="1">
  <tableColumns count="14">
    <tableColumn name="x" id="1"/>
    <tableColumn name="f(x)" id="2"/>
    <tableColumn name="F(x)" id="3"/>
    <tableColumn name="a0" id="4"/>
    <tableColumn name="1" id="5"/>
    <tableColumn name="2" id="6"/>
    <tableColumn name="3" id="7"/>
    <tableColumn name="4" id="8"/>
    <tableColumn name="5" id="9"/>
    <tableColumn name="6" id="10"/>
    <tableColumn name="7" id="11"/>
    <tableColumn name="8" id="12"/>
    <tableColumn name="9" id="13"/>
    <tableColumn name="10" id="14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13.38"/>
    <col customWidth="1" min="7" max="7" width="15.25"/>
    <col customWidth="1" min="8" max="8" width="14.25"/>
    <col customWidth="1" min="9" max="9" width="16.13"/>
    <col customWidth="1" min="10" max="10" width="15.25"/>
    <col customWidth="1" min="11" max="11" width="14.75"/>
    <col customWidth="1" min="12" max="12" width="15.75"/>
    <col customWidth="1" min="13" max="14" width="14.75"/>
  </cols>
  <sheetData>
    <row r="1"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22.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ht="22.5" customHeight="1">
      <c r="A4" s="3">
        <v>-3.1416</v>
      </c>
      <c r="B4" s="4">
        <f t="shared" ref="B4:B67" si="2">-(5*A4*A4)/6 + A4/3 - 2/7</f>
        <v>-9.557623086</v>
      </c>
      <c r="C4" s="5">
        <f t="shared" ref="C4:C67" si="3">D4 + SUM(E4:N4)</f>
        <v>-8.193114524</v>
      </c>
      <c r="D4" s="6">
        <f t="shared" ref="D4:D67" si="4"> - (5 * PI() * PI()) / 18 - 2 / 7</f>
        <v>-3.027271064</v>
      </c>
      <c r="E4" s="4">
        <f t="shared" ref="E4:N4" si="1">(10 * POWER(-1, E$3 + 1)) / (3 * E$3 * E$3) * COS(E$3 * $A4) + (2 * POWER(-1, E$3+1)) / (3 * E$3) * SIN(E$3 * $A4)</f>
        <v>-3.333328436</v>
      </c>
      <c r="F4" s="4">
        <f t="shared" si="1"/>
        <v>-0.8333284356</v>
      </c>
      <c r="G4" s="4">
        <f t="shared" si="1"/>
        <v>-0.3703654727</v>
      </c>
      <c r="H4" s="4">
        <f t="shared" si="1"/>
        <v>-0.2083284356</v>
      </c>
      <c r="I4" s="4">
        <f t="shared" si="1"/>
        <v>-0.1333284356</v>
      </c>
      <c r="J4" s="4">
        <f t="shared" si="1"/>
        <v>-0.0925876949</v>
      </c>
      <c r="K4" s="4">
        <f t="shared" si="1"/>
        <v>-0.06802231319</v>
      </c>
      <c r="L4" s="4">
        <f t="shared" si="1"/>
        <v>-0.05207843564</v>
      </c>
      <c r="M4" s="4">
        <f t="shared" si="1"/>
        <v>-0.04114736568</v>
      </c>
      <c r="N4" s="4">
        <f t="shared" si="1"/>
        <v>-0.03332843564</v>
      </c>
    </row>
    <row r="5" ht="22.5" customHeight="1">
      <c r="A5" s="3">
        <v>-3.0416</v>
      </c>
      <c r="B5" s="4">
        <f t="shared" si="2"/>
        <v>-9.009023086</v>
      </c>
      <c r="C5" s="5">
        <f t="shared" si="3"/>
        <v>-8.656981723</v>
      </c>
      <c r="D5" s="6">
        <f t="shared" si="4"/>
        <v>-3.027271064</v>
      </c>
      <c r="E5" s="4">
        <f t="shared" ref="E5:N5" si="5">(10 * POWER(-1, E$3 + 1)) / (3 * E$3 * E$3) * COS(E$3 * $A5) + (2 * POWER(-1, E$3+1)) / (3 * E$3) * SIN(E$3 * $A5)</f>
        <v>-3.383233734</v>
      </c>
      <c r="F5" s="4">
        <f t="shared" si="5"/>
        <v>-0.8829428909</v>
      </c>
      <c r="G5" s="4">
        <f t="shared" si="5"/>
        <v>-0.4194972196</v>
      </c>
      <c r="H5" s="4">
        <f t="shared" si="5"/>
        <v>-0.2567886371</v>
      </c>
      <c r="I5" s="4">
        <f t="shared" si="5"/>
        <v>-0.1809324633</v>
      </c>
      <c r="J5" s="4">
        <f t="shared" si="5"/>
        <v>-0.1391562791</v>
      </c>
      <c r="K5" s="4">
        <f t="shared" si="5"/>
        <v>-0.1133826538</v>
      </c>
      <c r="L5" s="4">
        <f t="shared" si="5"/>
        <v>-0.09606526549</v>
      </c>
      <c r="M5" s="4">
        <f t="shared" si="5"/>
        <v>-0.08360395942</v>
      </c>
      <c r="N5" s="4">
        <f t="shared" si="5"/>
        <v>-0.07410755672</v>
      </c>
    </row>
    <row r="6" ht="22.5" customHeight="1">
      <c r="A6" s="3">
        <v>-2.9416</v>
      </c>
      <c r="B6" s="4">
        <f t="shared" si="2"/>
        <v>-8.477089752</v>
      </c>
      <c r="C6" s="5">
        <f t="shared" si="3"/>
        <v>-8.637919545</v>
      </c>
      <c r="D6" s="6">
        <f t="shared" si="4"/>
        <v>-3.027271064</v>
      </c>
      <c r="E6" s="4">
        <f t="shared" ref="E6:N6" si="6">(10 * POWER(-1, E$3 + 1)) / (3 * E$3 * E$3) * COS(E$3 * $A6) + (2 * POWER(-1, E$3+1)) / (3 * E$3) * SIN(E$3 * $A6)</f>
        <v>-3.399334878</v>
      </c>
      <c r="F6" s="4">
        <f t="shared" si="6"/>
        <v>-0.8973571994</v>
      </c>
      <c r="G6" s="4">
        <f t="shared" si="6"/>
        <v>-0.4311565293</v>
      </c>
      <c r="H6" s="4">
        <f t="shared" si="6"/>
        <v>-0.2647075589</v>
      </c>
      <c r="I6" s="4">
        <f t="shared" si="6"/>
        <v>-0.1842379136</v>
      </c>
      <c r="J6" s="4">
        <f t="shared" si="6"/>
        <v>-0.1371135715</v>
      </c>
      <c r="K6" s="4">
        <f t="shared" si="6"/>
        <v>-0.1054173607</v>
      </c>
      <c r="L6" s="4">
        <f t="shared" si="6"/>
        <v>-0.08178019437</v>
      </c>
      <c r="M6" s="4">
        <f t="shared" si="6"/>
        <v>-0.06279074345</v>
      </c>
      <c r="N6" s="4">
        <f t="shared" si="6"/>
        <v>-0.04675253192</v>
      </c>
    </row>
    <row r="7" ht="22.5" customHeight="1">
      <c r="A7" s="3">
        <v>-2.8416</v>
      </c>
      <c r="B7" s="4">
        <f t="shared" si="2"/>
        <v>-7.961823086</v>
      </c>
      <c r="C7" s="5">
        <f t="shared" si="3"/>
        <v>-8.186117478</v>
      </c>
      <c r="D7" s="6">
        <f t="shared" si="4"/>
        <v>-3.027271064</v>
      </c>
      <c r="E7" s="4">
        <f t="shared" ref="E7:N7" si="7">(10 * POWER(-1, E$3 + 1)) / (3 * E$3 * E$3) * COS(E$3 * $A7) + (2 * POWER(-1, E$3+1)) / (3 * E$3) * SIN(E$3 * $A7)</f>
        <v>-3.381470993</v>
      </c>
      <c r="F7" s="4">
        <f t="shared" si="7"/>
        <v>-0.8759967081</v>
      </c>
      <c r="G7" s="4">
        <f t="shared" si="7"/>
        <v>-0.4043019103</v>
      </c>
      <c r="H7" s="4">
        <f t="shared" si="7"/>
        <v>-0.2308349777</v>
      </c>
      <c r="I7" s="4">
        <f t="shared" si="7"/>
        <v>-0.1424354972</v>
      </c>
      <c r="J7" s="4">
        <f t="shared" si="7"/>
        <v>-0.08717314859</v>
      </c>
      <c r="K7" s="4">
        <f t="shared" si="7"/>
        <v>-0.04787263568</v>
      </c>
      <c r="L7" s="4">
        <f t="shared" si="7"/>
        <v>-0.01788835472</v>
      </c>
      <c r="M7" s="4">
        <f t="shared" si="7"/>
        <v>0.005541255335</v>
      </c>
      <c r="N7" s="4">
        <f t="shared" si="7"/>
        <v>0.02358655512</v>
      </c>
    </row>
    <row r="8" ht="22.5" customHeight="1">
      <c r="A8" s="3">
        <v>-2.7416</v>
      </c>
      <c r="B8" s="4">
        <f t="shared" si="2"/>
        <v>-7.463223086</v>
      </c>
      <c r="C8" s="5">
        <f t="shared" si="3"/>
        <v>-7.520234324</v>
      </c>
      <c r="D8" s="6">
        <f t="shared" si="4"/>
        <v>-3.027271064</v>
      </c>
      <c r="E8" s="4">
        <f t="shared" ref="E8:N8" si="8">(10 * POWER(-1, E$3 + 1)) / (3 * E$3 * E$3) * COS(E$3 * $A8) + (2 * POWER(-1, E$3+1)) / (3 * E$3) * SIN(E$3 * $A8)</f>
        <v>-3.329820567</v>
      </c>
      <c r="F8" s="4">
        <f t="shared" si="8"/>
        <v>-0.8197129925</v>
      </c>
      <c r="G8" s="4">
        <f t="shared" si="8"/>
        <v>-0.3413322058</v>
      </c>
      <c r="H8" s="4">
        <f t="shared" si="8"/>
        <v>-0.160518629</v>
      </c>
      <c r="I8" s="4">
        <f t="shared" si="8"/>
        <v>-0.0657599035</v>
      </c>
      <c r="J8" s="4">
        <f t="shared" si="8"/>
        <v>-0.006780636874</v>
      </c>
      <c r="K8" s="4">
        <f t="shared" si="8"/>
        <v>0.03218733796</v>
      </c>
      <c r="L8" s="4">
        <f t="shared" si="8"/>
        <v>0.05685432085</v>
      </c>
      <c r="M8" s="4">
        <f t="shared" si="8"/>
        <v>0.06967974256</v>
      </c>
      <c r="N8" s="4">
        <f t="shared" si="8"/>
        <v>0.07224027216</v>
      </c>
    </row>
    <row r="9" ht="22.5" customHeight="1">
      <c r="A9" s="3">
        <v>-2.6416</v>
      </c>
      <c r="B9" s="4">
        <f t="shared" si="2"/>
        <v>-6.981289752</v>
      </c>
      <c r="C9" s="5">
        <f t="shared" si="3"/>
        <v>-6.882874682</v>
      </c>
      <c r="D9" s="6">
        <f t="shared" si="4"/>
        <v>-3.027271064</v>
      </c>
      <c r="E9" s="4">
        <f t="shared" ref="E9:N9" si="9">(10 * POWER(-1, E$3 + 1)) / (3 * E$3 * E$3) * COS(E$3 * $A9) + (2 * POWER(-1, E$3+1)) / (3 * E$3) * SIN(E$3 * $A9)</f>
        <v>-3.244899674</v>
      </c>
      <c r="F9" s="4">
        <f t="shared" si="9"/>
        <v>-0.7307499065</v>
      </c>
      <c r="G9" s="4">
        <f t="shared" si="9"/>
        <v>-0.2478723119</v>
      </c>
      <c r="H9" s="4">
        <f t="shared" si="9"/>
        <v>-0.06485991835</v>
      </c>
      <c r="I9" s="4">
        <f t="shared" si="9"/>
        <v>0.02701600807</v>
      </c>
      <c r="J9" s="4">
        <f t="shared" si="9"/>
        <v>0.07598054639</v>
      </c>
      <c r="K9" s="4">
        <f t="shared" si="9"/>
        <v>0.09710910361</v>
      </c>
      <c r="L9" s="4">
        <f t="shared" si="9"/>
        <v>0.09710992831</v>
      </c>
      <c r="M9" s="4">
        <f t="shared" si="9"/>
        <v>0.08108598978</v>
      </c>
      <c r="N9" s="4">
        <f t="shared" si="9"/>
        <v>0.05447661613</v>
      </c>
    </row>
    <row r="10" ht="22.5" customHeight="1">
      <c r="A10" s="3">
        <v>-2.5416</v>
      </c>
      <c r="B10" s="4">
        <f t="shared" si="2"/>
        <v>-6.516023086</v>
      </c>
      <c r="C10" s="5">
        <f t="shared" si="3"/>
        <v>-6.400762702</v>
      </c>
      <c r="D10" s="6">
        <f t="shared" si="4"/>
        <v>-3.027271064</v>
      </c>
      <c r="E10" s="4">
        <f t="shared" ref="E10:N10" si="10">(10 * POWER(-1, E$3 + 1)) / (3 * E$3 * E$3) * COS(E$3 * $A10) + (2 * POWER(-1, E$3+1)) / (3 * E$3) * SIN(E$3 * $A10)</f>
        <v>-3.127556817</v>
      </c>
      <c r="F10" s="4">
        <f t="shared" si="10"/>
        <v>-0.6126541279</v>
      </c>
      <c r="G10" s="4">
        <f t="shared" si="10"/>
        <v>-0.1322707226</v>
      </c>
      <c r="H10" s="4">
        <f t="shared" si="10"/>
        <v>0.04103874731</v>
      </c>
      <c r="I10" s="4">
        <f t="shared" si="10"/>
        <v>0.1131774587</v>
      </c>
      <c r="J10" s="4">
        <f t="shared" si="10"/>
        <v>0.1321995388</v>
      </c>
      <c r="K10" s="4">
        <f t="shared" si="10"/>
        <v>0.1163589405</v>
      </c>
      <c r="L10" s="4">
        <f t="shared" si="10"/>
        <v>0.07845995635</v>
      </c>
      <c r="M10" s="4">
        <f t="shared" si="10"/>
        <v>0.03112797652</v>
      </c>
      <c r="N10" s="4">
        <f t="shared" si="10"/>
        <v>-0.01337258954</v>
      </c>
    </row>
    <row r="11" ht="22.5" customHeight="1">
      <c r="A11" s="3">
        <v>-2.4416</v>
      </c>
      <c r="B11" s="4">
        <f t="shared" si="2"/>
        <v>-6.067423086</v>
      </c>
      <c r="C11" s="5">
        <f t="shared" si="3"/>
        <v>-6.045111799</v>
      </c>
      <c r="D11" s="6">
        <f t="shared" si="4"/>
        <v>-3.027271064</v>
      </c>
      <c r="E11" s="4">
        <f t="shared" ref="E11:N11" si="11">(10 * POWER(-1, E$3 + 1)) / (3 * E$3 * E$3) * COS(E$3 * $A11) + (2 * POWER(-1, E$3+1)) / (3 * E$3) * SIN(E$3 * $A11)</f>
        <v>-2.978964445</v>
      </c>
      <c r="F11" s="4">
        <f t="shared" si="11"/>
        <v>-0.4701337625</v>
      </c>
      <c r="G11" s="4">
        <f t="shared" si="11"/>
        <v>-0.004853783596</v>
      </c>
      <c r="H11" s="4">
        <f t="shared" si="11"/>
        <v>0.1404582971</v>
      </c>
      <c r="I11" s="4">
        <f t="shared" si="11"/>
        <v>0.1716291201</v>
      </c>
      <c r="J11" s="4">
        <f t="shared" si="11"/>
        <v>0.1422374289</v>
      </c>
      <c r="K11" s="4">
        <f t="shared" si="11"/>
        <v>0.08088334946</v>
      </c>
      <c r="L11" s="4">
        <f t="shared" si="11"/>
        <v>0.01221722769</v>
      </c>
      <c r="M11" s="4">
        <f t="shared" si="11"/>
        <v>-0.04238706879</v>
      </c>
      <c r="N11" s="4">
        <f t="shared" si="11"/>
        <v>-0.06892709805</v>
      </c>
    </row>
    <row r="12" ht="22.5" customHeight="1">
      <c r="A12" s="3">
        <v>-2.3416</v>
      </c>
      <c r="B12" s="4">
        <f t="shared" si="2"/>
        <v>-5.635489752</v>
      </c>
      <c r="C12" s="5">
        <f t="shared" si="3"/>
        <v>-5.704406006</v>
      </c>
      <c r="D12" s="6">
        <f t="shared" si="4"/>
        <v>-3.027271064</v>
      </c>
      <c r="E12" s="4">
        <f t="shared" ref="E12:N12" si="12">(10 * POWER(-1, E$3 + 1)) / (3 * E$3 * E$3) * COS(E$3 * $A12) + (2 * POWER(-1, E$3+1)) / (3 * E$3) * SIN(E$3 * $A12)</f>
        <v>-2.800607246</v>
      </c>
      <c r="F12" s="4">
        <f t="shared" si="12"/>
        <v>-0.3088706475</v>
      </c>
      <c r="G12" s="4">
        <f t="shared" si="12"/>
        <v>0.1229967294</v>
      </c>
      <c r="H12" s="4">
        <f t="shared" si="12"/>
        <v>0.2177025702</v>
      </c>
      <c r="I12" s="4">
        <f t="shared" si="12"/>
        <v>0.1880599873</v>
      </c>
      <c r="J12" s="4">
        <f t="shared" si="12"/>
        <v>0.1025876929</v>
      </c>
      <c r="K12" s="4">
        <f t="shared" si="12"/>
        <v>0.007367055367</v>
      </c>
      <c r="L12" s="4">
        <f t="shared" si="12"/>
        <v>-0.06143630735</v>
      </c>
      <c r="M12" s="4">
        <f t="shared" si="12"/>
        <v>-0.08382442549</v>
      </c>
      <c r="N12" s="4">
        <f t="shared" si="12"/>
        <v>-0.0611103505</v>
      </c>
    </row>
    <row r="13" ht="22.5" customHeight="1">
      <c r="A13" s="3">
        <v>-2.2416</v>
      </c>
      <c r="B13" s="4">
        <f t="shared" si="2"/>
        <v>-5.220223086</v>
      </c>
      <c r="C13" s="5">
        <f t="shared" si="3"/>
        <v>-5.297218802</v>
      </c>
      <c r="D13" s="6">
        <f t="shared" si="4"/>
        <v>-3.027271064</v>
      </c>
      <c r="E13" s="4">
        <f t="shared" ref="E13:N13" si="13">(10 * POWER(-1, E$3 + 1)) / (3 * E$3 * E$3) * COS(E$3 * $A13) + (2 * POWER(-1, E$3+1)) / (3 * E$3) * SIN(E$3 * $A13)</f>
        <v>-2.594267305</v>
      </c>
      <c r="F13" s="4">
        <f t="shared" si="13"/>
        <v>-0.1352938346</v>
      </c>
      <c r="G13" s="4">
        <f t="shared" si="13"/>
        <v>0.2398603109</v>
      </c>
      <c r="H13" s="4">
        <f t="shared" si="13"/>
        <v>0.2605763943</v>
      </c>
      <c r="I13" s="4">
        <f t="shared" si="13"/>
        <v>0.1584472107</v>
      </c>
      <c r="J13" s="4">
        <f t="shared" si="13"/>
        <v>0.02710112432</v>
      </c>
      <c r="K13" s="4">
        <f t="shared" si="13"/>
        <v>-0.06961407998</v>
      </c>
      <c r="L13" s="4">
        <f t="shared" si="13"/>
        <v>-0.09782340274</v>
      </c>
      <c r="M13" s="4">
        <f t="shared" si="13"/>
        <v>-0.06182512815</v>
      </c>
      <c r="N13" s="4">
        <f t="shared" si="13"/>
        <v>0.002890971484</v>
      </c>
    </row>
    <row r="14" ht="22.5" customHeight="1">
      <c r="A14" s="3">
        <v>-2.1416</v>
      </c>
      <c r="B14" s="4">
        <f t="shared" si="2"/>
        <v>-4.821623086</v>
      </c>
      <c r="C14" s="5">
        <f t="shared" si="3"/>
        <v>-4.833333664</v>
      </c>
      <c r="D14" s="6">
        <f t="shared" si="4"/>
        <v>-3.027271064</v>
      </c>
      <c r="E14" s="4">
        <f t="shared" ref="E14:N14" si="14">(10 * POWER(-1, E$3 + 1)) / (3 * E$3 * E$3) * COS(E$3 * $A14) + (2 * POWER(-1, E$3+1)) / (3 * E$3) * SIN(E$3 * $A14)</f>
        <v>-2.362006302</v>
      </c>
      <c r="F14" s="4">
        <f t="shared" si="14"/>
        <v>0.0436767166</v>
      </c>
      <c r="G14" s="4">
        <f t="shared" si="14"/>
        <v>0.3352978852</v>
      </c>
      <c r="H14" s="4">
        <f t="shared" si="14"/>
        <v>0.2623109353</v>
      </c>
      <c r="I14" s="4">
        <f t="shared" si="14"/>
        <v>0.09004103087</v>
      </c>
      <c r="J14" s="4">
        <f t="shared" si="14"/>
        <v>-0.05785264672</v>
      </c>
      <c r="K14" s="4">
        <f t="shared" si="14"/>
        <v>-0.1138546258</v>
      </c>
      <c r="L14" s="4">
        <f t="shared" si="14"/>
        <v>-0.07487213469</v>
      </c>
      <c r="M14" s="4">
        <f t="shared" si="14"/>
        <v>0.006962193599</v>
      </c>
      <c r="N14" s="4">
        <f t="shared" si="14"/>
        <v>0.06423434761</v>
      </c>
    </row>
    <row r="15" ht="22.5" customHeight="1">
      <c r="A15" s="3">
        <v>-2.0416</v>
      </c>
      <c r="B15" s="4">
        <f t="shared" si="2"/>
        <v>-4.439689752</v>
      </c>
      <c r="C15" s="5">
        <f t="shared" si="3"/>
        <v>-4.386150844</v>
      </c>
      <c r="D15" s="6">
        <f t="shared" si="4"/>
        <v>-3.027271064</v>
      </c>
      <c r="E15" s="4">
        <f t="shared" ref="E15:N15" si="15">(10 * POWER(-1, E$3 + 1)) / (3 * E$3 * E$3) * COS(E$3 * $A15) + (2 * POWER(-1, E$3+1)) / (3 * E$3) * SIN(E$3 * $A15)</f>
        <v>-2.106144914</v>
      </c>
      <c r="F15" s="4">
        <f t="shared" si="15"/>
        <v>0.2209060149</v>
      </c>
      <c r="G15" s="4">
        <f t="shared" si="15"/>
        <v>0.4007842981</v>
      </c>
      <c r="H15" s="4">
        <f t="shared" si="15"/>
        <v>0.2226323473</v>
      </c>
      <c r="I15" s="4">
        <f t="shared" si="15"/>
        <v>-0.0004103335842</v>
      </c>
      <c r="J15" s="4">
        <f t="shared" si="15"/>
        <v>-0.1225968238</v>
      </c>
      <c r="K15" s="4">
        <f t="shared" si="15"/>
        <v>-0.104547562</v>
      </c>
      <c r="L15" s="4">
        <f t="shared" si="15"/>
        <v>-0.006504434429</v>
      </c>
      <c r="M15" s="4">
        <f t="shared" si="15"/>
        <v>0.07048066603</v>
      </c>
      <c r="N15" s="4">
        <f t="shared" si="15"/>
        <v>0.06652096078</v>
      </c>
    </row>
    <row r="16" ht="22.5" customHeight="1">
      <c r="A16" s="3">
        <v>-1.9416</v>
      </c>
      <c r="B16" s="4">
        <f t="shared" si="2"/>
        <v>-4.074423086</v>
      </c>
      <c r="C16" s="5">
        <f t="shared" si="3"/>
        <v>-4.016135078</v>
      </c>
      <c r="D16" s="6">
        <f t="shared" si="4"/>
        <v>-3.027271064</v>
      </c>
      <c r="E16" s="4">
        <f t="shared" ref="E16:N16" si="16">(10 * POWER(-1, E$3 + 1)) / (3 * E$3 * E$3) * COS(E$3 * $A16) + (2 * POWER(-1, E$3+1)) / (3 * E$3) * SIN(E$3 * $A16)</f>
        <v>-1.829239621</v>
      </c>
      <c r="F16" s="4">
        <f t="shared" si="16"/>
        <v>0.3893284875</v>
      </c>
      <c r="G16" s="4">
        <f t="shared" si="16"/>
        <v>0.4304698432</v>
      </c>
      <c r="H16" s="4">
        <f t="shared" si="16"/>
        <v>0.1478050069</v>
      </c>
      <c r="I16" s="4">
        <f t="shared" si="16"/>
        <v>-0.09076123406</v>
      </c>
      <c r="J16" s="4">
        <f t="shared" si="16"/>
        <v>-0.1445144032</v>
      </c>
      <c r="K16" s="4">
        <f t="shared" si="16"/>
        <v>-0.04607014626</v>
      </c>
      <c r="L16" s="4">
        <f t="shared" si="16"/>
        <v>0.06580876848</v>
      </c>
      <c r="M16" s="4">
        <f t="shared" si="16"/>
        <v>0.08066077555</v>
      </c>
      <c r="N16" s="4">
        <f t="shared" si="16"/>
        <v>0.007648509381</v>
      </c>
    </row>
    <row r="17" ht="22.5" customHeight="1">
      <c r="A17" s="3">
        <v>-1.8416</v>
      </c>
      <c r="B17" s="4">
        <f t="shared" si="2"/>
        <v>-3.725823086</v>
      </c>
      <c r="C17" s="5">
        <f t="shared" si="3"/>
        <v>-3.718772324</v>
      </c>
      <c r="D17" s="6">
        <f t="shared" si="4"/>
        <v>-3.027271064</v>
      </c>
      <c r="E17" s="4">
        <f t="shared" ref="E17:N17" si="17">(10 * POWER(-1, E$3 + 1)) / (3 * E$3 * E$3) * COS(E$3 * $A17) + (2 * POWER(-1, E$3+1)) / (3 * E$3) * SIN(E$3 * $A17)</f>
        <v>-1.534057171</v>
      </c>
      <c r="F17" s="4">
        <f t="shared" si="17"/>
        <v>0.542229662</v>
      </c>
      <c r="G17" s="4">
        <f t="shared" si="17"/>
        <v>0.4217027992</v>
      </c>
      <c r="H17" s="4">
        <f t="shared" si="17"/>
        <v>0.04964250587</v>
      </c>
      <c r="I17" s="4">
        <f t="shared" si="17"/>
        <v>-0.158890619</v>
      </c>
      <c r="J17" s="4">
        <f t="shared" si="17"/>
        <v>-0.1159489439</v>
      </c>
      <c r="K17" s="4">
        <f t="shared" si="17"/>
        <v>0.03407477915</v>
      </c>
      <c r="L17" s="4">
        <f t="shared" si="17"/>
        <v>0.0982032555</v>
      </c>
      <c r="M17" s="4">
        <f t="shared" si="17"/>
        <v>0.02979841823</v>
      </c>
      <c r="N17" s="4">
        <f t="shared" si="17"/>
        <v>-0.05825594627</v>
      </c>
    </row>
    <row r="18" ht="22.5" customHeight="1">
      <c r="A18" s="3">
        <v>-1.7416</v>
      </c>
      <c r="B18" s="4">
        <f t="shared" si="2"/>
        <v>-3.393889752</v>
      </c>
      <c r="C18" s="5">
        <f t="shared" si="3"/>
        <v>-3.438384691</v>
      </c>
      <c r="D18" s="6">
        <f t="shared" si="4"/>
        <v>-3.027271064</v>
      </c>
      <c r="E18" s="4">
        <f t="shared" ref="E18:N18" si="18">(10 * POWER(-1, E$3 + 1)) / (3 * E$3 * E$3) * COS(E$3 * $A18) + (2 * POWER(-1, E$3+1)) / (3 * E$3) * SIN(E$3 * $A18)</f>
        <v>-1.223546929</v>
      </c>
      <c r="F18" s="4">
        <f t="shared" si="18"/>
        <v>0.6735138509</v>
      </c>
      <c r="G18" s="4">
        <f t="shared" si="18"/>
        <v>0.3752663002</v>
      </c>
      <c r="H18" s="4">
        <f t="shared" si="18"/>
        <v>-0.05635745532</v>
      </c>
      <c r="I18" s="4">
        <f t="shared" si="18"/>
        <v>-0.188118039</v>
      </c>
      <c r="J18" s="4">
        <f t="shared" si="18"/>
        <v>-0.04687918258</v>
      </c>
      <c r="K18" s="4">
        <f t="shared" si="18"/>
        <v>0.0981938035</v>
      </c>
      <c r="L18" s="4">
        <f t="shared" si="18"/>
        <v>0.07102896549</v>
      </c>
      <c r="M18" s="4">
        <f t="shared" si="18"/>
        <v>-0.04361478793</v>
      </c>
      <c r="N18" s="4">
        <f t="shared" si="18"/>
        <v>-0.07060015358</v>
      </c>
    </row>
    <row r="19" ht="22.5" customHeight="1">
      <c r="A19" s="3">
        <v>-1.6416</v>
      </c>
      <c r="B19" s="4">
        <f t="shared" si="2"/>
        <v>-3.078623086</v>
      </c>
      <c r="C19" s="5">
        <f t="shared" si="3"/>
        <v>-3.126163407</v>
      </c>
      <c r="D19" s="6">
        <f t="shared" si="4"/>
        <v>-3.027271064</v>
      </c>
      <c r="E19" s="4">
        <f t="shared" ref="E19:N19" si="19">(10 * POWER(-1, E$3 + 1)) / (3 * E$3 * E$3) * COS(E$3 * $A19) + (2 * POWER(-1, E$3+1)) / (3 * E$3) * SIN(E$3 * $A19)</f>
        <v>-0.9008114102</v>
      </c>
      <c r="F19" s="4">
        <f t="shared" si="19"/>
        <v>0.7779471679</v>
      </c>
      <c r="G19" s="4">
        <f t="shared" si="19"/>
        <v>0.2953083801</v>
      </c>
      <c r="H19" s="4">
        <f t="shared" si="19"/>
        <v>-0.1534598135</v>
      </c>
      <c r="I19" s="4">
        <f t="shared" si="19"/>
        <v>-0.1712876021</v>
      </c>
      <c r="J19" s="4">
        <f t="shared" si="19"/>
        <v>0.03856682594</v>
      </c>
      <c r="K19" s="4">
        <f t="shared" si="19"/>
        <v>0.1161307477</v>
      </c>
      <c r="L19" s="4">
        <f t="shared" si="19"/>
        <v>0.0007694581316</v>
      </c>
      <c r="M19" s="4">
        <f t="shared" si="19"/>
        <v>-0.08402119212</v>
      </c>
      <c r="N19" s="4">
        <f t="shared" si="19"/>
        <v>-0.01803490528</v>
      </c>
    </row>
    <row r="20" ht="22.5" customHeight="1">
      <c r="A20" s="3">
        <v>-1.5416</v>
      </c>
      <c r="B20" s="4">
        <f t="shared" si="2"/>
        <v>-2.780023086</v>
      </c>
      <c r="C20" s="5">
        <f t="shared" si="3"/>
        <v>-2.784560299</v>
      </c>
      <c r="D20" s="6">
        <f t="shared" si="4"/>
        <v>-3.027271064</v>
      </c>
      <c r="E20" s="4">
        <f t="shared" ref="E20:N20" si="20">(10 * POWER(-1, E$3 + 1)) / (3 * E$3 * E$3) * COS(E$3 * $A20) + (2 * POWER(-1, E$3+1)) / (3 * E$3) * SIN(E$3 * $A20)</f>
        <v>-0.5690752816</v>
      </c>
      <c r="F20" s="4">
        <f t="shared" si="20"/>
        <v>0.8513661864</v>
      </c>
      <c r="G20" s="4">
        <f t="shared" si="20"/>
        <v>0.188971442</v>
      </c>
      <c r="H20" s="4">
        <f t="shared" si="20"/>
        <v>-0.2263342414</v>
      </c>
      <c r="I20" s="4">
        <f t="shared" si="20"/>
        <v>-0.1125199864</v>
      </c>
      <c r="J20" s="4">
        <f t="shared" si="20"/>
        <v>0.1105403326</v>
      </c>
      <c r="K20" s="4">
        <f t="shared" si="20"/>
        <v>0.07944958672</v>
      </c>
      <c r="L20" s="4">
        <f t="shared" si="20"/>
        <v>-0.0699567922</v>
      </c>
      <c r="M20" s="4">
        <f t="shared" si="20"/>
        <v>-0.0608420332</v>
      </c>
      <c r="N20" s="4">
        <f t="shared" si="20"/>
        <v>0.05111155176</v>
      </c>
    </row>
    <row r="21" ht="22.5" customHeight="1">
      <c r="A21" s="3">
        <v>-1.4416</v>
      </c>
      <c r="B21" s="4">
        <f t="shared" si="2"/>
        <v>-2.498089752</v>
      </c>
      <c r="C21" s="5">
        <f t="shared" si="3"/>
        <v>-2.459304838</v>
      </c>
      <c r="D21" s="6">
        <f t="shared" si="4"/>
        <v>-3.027271064</v>
      </c>
      <c r="E21" s="4">
        <f t="shared" ref="E21:N21" si="21">(10 * POWER(-1, E$3 + 1)) / (3 * E$3 * E$3) * COS(E$3 * $A21) + (2 * POWER(-1, E$3+1)) / (3 * E$3) * SIN(E$3 * $A21)</f>
        <v>-0.2316531409</v>
      </c>
      <c r="F21" s="4">
        <f t="shared" si="21"/>
        <v>0.8908439216</v>
      </c>
      <c r="G21" s="4">
        <f t="shared" si="21"/>
        <v>0.06575424781</v>
      </c>
      <c r="H21" s="4">
        <f t="shared" si="21"/>
        <v>-0.2634754692</v>
      </c>
      <c r="I21" s="4">
        <f t="shared" si="21"/>
        <v>-0.02620355373</v>
      </c>
      <c r="J21" s="4">
        <f t="shared" si="21"/>
        <v>0.1438989208</v>
      </c>
      <c r="K21" s="4">
        <f t="shared" si="21"/>
        <v>0.005402043639</v>
      </c>
      <c r="L21" s="4">
        <f t="shared" si="21"/>
        <v>-0.09824819111</v>
      </c>
      <c r="M21" s="4">
        <f t="shared" si="21"/>
        <v>0.008381163462</v>
      </c>
      <c r="N21" s="4">
        <f t="shared" si="21"/>
        <v>0.07326628383</v>
      </c>
    </row>
    <row r="22" ht="22.5" customHeight="1">
      <c r="A22" s="3">
        <v>-1.34160000000001</v>
      </c>
      <c r="B22" s="4">
        <f t="shared" si="2"/>
        <v>-2.232823086</v>
      </c>
      <c r="C22" s="5">
        <f t="shared" si="3"/>
        <v>-2.19202706</v>
      </c>
      <c r="D22" s="6">
        <f t="shared" si="4"/>
        <v>-3.027271064</v>
      </c>
      <c r="E22" s="4">
        <f t="shared" ref="E22:N22" si="22">(10 * POWER(-1, E$3 + 1)) / (3 * E$3 * E$3) * COS(E$3 * $A22) + (2 * POWER(-1, E$3+1)) / (3 * E$3) * SIN(E$3 * $A22)</f>
        <v>0.1080836014</v>
      </c>
      <c r="F22" s="4">
        <f t="shared" si="22"/>
        <v>0.8948065209</v>
      </c>
      <c r="G22" s="4">
        <f t="shared" si="22"/>
        <v>-0.06333657754</v>
      </c>
      <c r="H22" s="4">
        <f t="shared" si="22"/>
        <v>-0.2590197138</v>
      </c>
      <c r="I22" s="4">
        <f t="shared" si="22"/>
        <v>0.06652842276</v>
      </c>
      <c r="J22" s="4">
        <f t="shared" si="22"/>
        <v>0.126989476</v>
      </c>
      <c r="K22" s="4">
        <f t="shared" si="22"/>
        <v>-0.07118616498</v>
      </c>
      <c r="L22" s="4">
        <f t="shared" si="22"/>
        <v>-0.06694355566</v>
      </c>
      <c r="M22" s="4">
        <f t="shared" si="22"/>
        <v>0.07126166271</v>
      </c>
      <c r="N22" s="4">
        <f t="shared" si="22"/>
        <v>0.02806033243</v>
      </c>
    </row>
    <row r="23" ht="22.5" customHeight="1">
      <c r="A23" s="3">
        <v>-1.24160000000001</v>
      </c>
      <c r="B23" s="4">
        <f t="shared" si="2"/>
        <v>-1.984223086</v>
      </c>
      <c r="C23" s="5">
        <f t="shared" si="3"/>
        <v>-1.981241617</v>
      </c>
      <c r="D23" s="6">
        <f t="shared" si="4"/>
        <v>-3.027271064</v>
      </c>
      <c r="E23" s="4">
        <f t="shared" ref="E23:N23" si="23">(10 * POWER(-1, E$3 + 1)) / (3 * E$3 * E$3) * COS(E$3 * $A23) + (2 * POWER(-1, E$3+1)) / (3 * E$3) * SIN(E$3 * $A23)</f>
        <v>0.446740408</v>
      </c>
      <c r="F23" s="4">
        <f t="shared" si="23"/>
        <v>0.8630960079</v>
      </c>
      <c r="G23" s="4">
        <f t="shared" si="23"/>
        <v>-0.186769735</v>
      </c>
      <c r="H23" s="4">
        <f t="shared" si="23"/>
        <v>-0.2136704408</v>
      </c>
      <c r="I23" s="4">
        <f t="shared" si="23"/>
        <v>0.1429719211</v>
      </c>
      <c r="J23" s="4">
        <f t="shared" si="23"/>
        <v>0.06571895368</v>
      </c>
      <c r="K23" s="4">
        <f t="shared" si="23"/>
        <v>-0.1142944079</v>
      </c>
      <c r="L23" s="4">
        <f t="shared" si="23"/>
        <v>0.004968142363</v>
      </c>
      <c r="M23" s="4">
        <f t="shared" si="23"/>
        <v>0.08021275633</v>
      </c>
      <c r="N23" s="4">
        <f t="shared" si="23"/>
        <v>-0.0429441592</v>
      </c>
    </row>
    <row r="24" ht="22.5" customHeight="1">
      <c r="A24" s="3">
        <v>-1.14160000000001</v>
      </c>
      <c r="B24" s="4">
        <f t="shared" si="2"/>
        <v>-1.752289752</v>
      </c>
      <c r="C24" s="5">
        <f t="shared" si="3"/>
        <v>-1.787353272</v>
      </c>
      <c r="D24" s="6">
        <f t="shared" si="4"/>
        <v>-3.027271064</v>
      </c>
      <c r="E24" s="4">
        <f t="shared" ref="E24:N24" si="24">(10 * POWER(-1, E$3 + 1)) / (3 * E$3 * E$3) * COS(E$3 * $A24) + (2 * POWER(-1, E$3+1)) / (3 * E$3) * SIN(E$3 * $A24)</f>
        <v>0.7809335322</v>
      </c>
      <c r="F24" s="4">
        <f t="shared" si="24"/>
        <v>0.7969765807</v>
      </c>
      <c r="G24" s="4">
        <f t="shared" si="24"/>
        <v>-0.2935193084</v>
      </c>
      <c r="H24" s="4">
        <f t="shared" si="24"/>
        <v>-0.1345873035</v>
      </c>
      <c r="I24" s="4">
        <f t="shared" si="24"/>
        <v>0.1844109068</v>
      </c>
      <c r="J24" s="4">
        <f t="shared" si="24"/>
        <v>-0.01850908988</v>
      </c>
      <c r="K24" s="4">
        <f t="shared" si="24"/>
        <v>-0.1036482049</v>
      </c>
      <c r="L24" s="4">
        <f t="shared" si="24"/>
        <v>0.0738662319</v>
      </c>
      <c r="M24" s="4">
        <f t="shared" si="24"/>
        <v>0.02846043512</v>
      </c>
      <c r="N24" s="4">
        <f t="shared" si="24"/>
        <v>-0.07446598891</v>
      </c>
    </row>
    <row r="25" ht="22.5" customHeight="1">
      <c r="A25" s="3">
        <v>-1.04160000000001</v>
      </c>
      <c r="B25" s="4">
        <f t="shared" si="2"/>
        <v>-1.537023086</v>
      </c>
      <c r="C25" s="5">
        <f t="shared" si="3"/>
        <v>-1.573391079</v>
      </c>
      <c r="D25" s="6">
        <f t="shared" si="4"/>
        <v>-3.027271064</v>
      </c>
      <c r="E25" s="4">
        <f t="shared" ref="E25:N25" si="25">(10 * POWER(-1, E$3 + 1)) / (3 * E$3 * E$3) * COS(E$3 * $A25) + (2 * POWER(-1, E$3+1)) / (3 * E$3) * SIN(E$3 * $A25)</f>
        <v>1.107323827</v>
      </c>
      <c r="F25" s="4">
        <f t="shared" si="25"/>
        <v>0.6990842123</v>
      </c>
      <c r="G25" s="4">
        <f t="shared" si="25"/>
        <v>-0.374049676</v>
      </c>
      <c r="H25" s="4">
        <f t="shared" si="25"/>
        <v>-0.03425579019</v>
      </c>
      <c r="I25" s="4">
        <f t="shared" si="25"/>
        <v>0.180699671</v>
      </c>
      <c r="J25" s="4">
        <f t="shared" si="25"/>
        <v>-0.09627137583</v>
      </c>
      <c r="K25" s="4">
        <f t="shared" si="25"/>
        <v>-0.04425463156</v>
      </c>
      <c r="L25" s="4">
        <f t="shared" si="25"/>
        <v>0.09795805635</v>
      </c>
      <c r="M25" s="4">
        <f t="shared" si="25"/>
        <v>-0.04483017598</v>
      </c>
      <c r="N25" s="4">
        <f t="shared" si="25"/>
        <v>-0.03752413183</v>
      </c>
    </row>
    <row r="26" ht="22.5" customHeight="1">
      <c r="A26" s="3">
        <v>-0.941600000000006</v>
      </c>
      <c r="B26" s="4">
        <f t="shared" si="2"/>
        <v>-1.338423086</v>
      </c>
      <c r="C26" s="5">
        <f t="shared" si="3"/>
        <v>-1.340333722</v>
      </c>
      <c r="D26" s="6">
        <f t="shared" si="4"/>
        <v>-3.027271064</v>
      </c>
      <c r="E26" s="4">
        <f t="shared" ref="E26:N26" si="26">(10 * POWER(-1, E$3 + 1)) / (3 * E$3 * E$3) * COS(E$3 * $A26) + (2 * POWER(-1, E$3+1)) / (3 * E$3) * SIN(E$3 * $A26)</f>
        <v>1.422650108</v>
      </c>
      <c r="F26" s="4">
        <f t="shared" si="26"/>
        <v>0.5733215625</v>
      </c>
      <c r="G26" s="4">
        <f t="shared" si="26"/>
        <v>-0.4211673002</v>
      </c>
      <c r="H26" s="4">
        <f t="shared" si="26"/>
        <v>0.07148395913</v>
      </c>
      <c r="I26" s="4">
        <f t="shared" si="26"/>
        <v>0.1327468536</v>
      </c>
      <c r="J26" s="4">
        <f t="shared" si="26"/>
        <v>-0.1404033005</v>
      </c>
      <c r="K26" s="4">
        <f t="shared" si="26"/>
        <v>0.03595258648</v>
      </c>
      <c r="L26" s="4">
        <f t="shared" si="26"/>
        <v>0.06262983829</v>
      </c>
      <c r="M26" s="4">
        <f t="shared" si="26"/>
        <v>-0.08419420366</v>
      </c>
      <c r="N26" s="4">
        <f t="shared" si="26"/>
        <v>0.033917239</v>
      </c>
    </row>
    <row r="27" ht="22.5" customHeight="1">
      <c r="A27" s="3">
        <v>-0.841600000000007</v>
      </c>
      <c r="B27" s="4">
        <f t="shared" si="2"/>
        <v>-1.156489752</v>
      </c>
      <c r="C27" s="5">
        <f t="shared" si="3"/>
        <v>-1.123832148</v>
      </c>
      <c r="D27" s="6">
        <f t="shared" si="4"/>
        <v>-3.027271064</v>
      </c>
      <c r="E27" s="4">
        <f t="shared" ref="E27:N27" si="27">(10 * POWER(-1, E$3 + 1)) / (3 * E$3 * E$3) * COS(E$3 * $A27) + (2 * POWER(-1, E$3+1)) / (3 * E$3) * SIN(E$3 * $A27)</f>
        <v>1.723761739</v>
      </c>
      <c r="F27" s="4">
        <f t="shared" si="27"/>
        <v>0.4247023911</v>
      </c>
      <c r="G27" s="4">
        <f t="shared" si="27"/>
        <v>-0.4306633037</v>
      </c>
      <c r="H27" s="4">
        <f t="shared" si="27"/>
        <v>0.1659379631</v>
      </c>
      <c r="I27" s="4">
        <f t="shared" si="27"/>
        <v>0.05229297675</v>
      </c>
      <c r="J27" s="4">
        <f t="shared" si="27"/>
        <v>-0.1354883128</v>
      </c>
      <c r="K27" s="4">
        <f t="shared" si="27"/>
        <v>0.09925074132</v>
      </c>
      <c r="L27" s="4">
        <f t="shared" si="27"/>
        <v>-0.01068879927</v>
      </c>
      <c r="M27" s="4">
        <f t="shared" si="27"/>
        <v>-0.05984173655</v>
      </c>
      <c r="N27" s="4">
        <f t="shared" si="27"/>
        <v>0.07417525671</v>
      </c>
    </row>
    <row r="28" ht="22.5" customHeight="1">
      <c r="A28" s="3">
        <v>-0.741600000000007</v>
      </c>
      <c r="B28" s="4">
        <f t="shared" si="2"/>
        <v>-0.9912230857</v>
      </c>
      <c r="C28" s="5">
        <f t="shared" si="3"/>
        <v>-0.9577914891</v>
      </c>
      <c r="D28" s="6">
        <f t="shared" si="4"/>
        <v>-3.027271064</v>
      </c>
      <c r="E28" s="4">
        <f t="shared" ref="E28:N28" si="28">(10 * POWER(-1, E$3 + 1)) / (3 * E$3 * E$3) * COS(E$3 * $A28) + (2 * POWER(-1, E$3+1)) / (3 * E$3) * SIN(E$3 * $A28)</f>
        <v>2.007650112</v>
      </c>
      <c r="F28" s="4">
        <f t="shared" si="28"/>
        <v>0.2591516756</v>
      </c>
      <c r="G28" s="4">
        <f t="shared" si="28"/>
        <v>-0.401689437</v>
      </c>
      <c r="H28" s="4">
        <f t="shared" si="28"/>
        <v>0.2341940113</v>
      </c>
      <c r="I28" s="4">
        <f t="shared" si="28"/>
        <v>-0.04096404462</v>
      </c>
      <c r="J28" s="4">
        <f t="shared" si="28"/>
        <v>-0.08324335947</v>
      </c>
      <c r="K28" s="4">
        <f t="shared" si="28"/>
        <v>0.1158697217</v>
      </c>
      <c r="L28" s="4">
        <f t="shared" si="28"/>
        <v>-0.07752375461</v>
      </c>
      <c r="M28" s="4">
        <f t="shared" si="28"/>
        <v>0.009797763742</v>
      </c>
      <c r="N28" s="4">
        <f t="shared" si="28"/>
        <v>0.04623688548</v>
      </c>
    </row>
    <row r="29" ht="22.5" customHeight="1">
      <c r="A29" s="3">
        <v>-0.641600000000007</v>
      </c>
      <c r="B29" s="4">
        <f t="shared" si="2"/>
        <v>-0.8426230857</v>
      </c>
      <c r="C29" s="5">
        <f t="shared" si="3"/>
        <v>-0.8415210051</v>
      </c>
      <c r="D29" s="6">
        <f t="shared" si="4"/>
        <v>-3.027271064</v>
      </c>
      <c r="E29" s="4">
        <f t="shared" ref="E29:N29" si="29">(10 * POWER(-1, E$3 + 1)) / (3 * E$3 * E$3) * COS(E$3 * $A29) + (2 * POWER(-1, E$3+1)) / (3 * E$3) * SIN(E$3 * $A29)</f>
        <v>2.27147871</v>
      </c>
      <c r="F29" s="4">
        <f t="shared" si="29"/>
        <v>0.08326940068</v>
      </c>
      <c r="G29" s="4">
        <f t="shared" si="29"/>
        <v>-0.3368338492</v>
      </c>
      <c r="H29" s="4">
        <f t="shared" si="29"/>
        <v>0.2654759747</v>
      </c>
      <c r="I29" s="4">
        <f t="shared" si="29"/>
        <v>-0.1241916392</v>
      </c>
      <c r="J29" s="4">
        <f t="shared" si="29"/>
        <v>-0.001919105745</v>
      </c>
      <c r="K29" s="4">
        <f t="shared" si="29"/>
        <v>0.07799336142</v>
      </c>
      <c r="L29" s="4">
        <f t="shared" si="29"/>
        <v>-0.09733384068</v>
      </c>
      <c r="M29" s="4">
        <f t="shared" si="29"/>
        <v>0.07202251177</v>
      </c>
      <c r="N29" s="4">
        <f t="shared" si="29"/>
        <v>-0.02421146503</v>
      </c>
    </row>
    <row r="30" ht="22.5" customHeight="1">
      <c r="A30" s="3">
        <v>-0.541600000000008</v>
      </c>
      <c r="B30" s="4">
        <f t="shared" si="2"/>
        <v>-0.7106897524</v>
      </c>
      <c r="C30" s="5">
        <f t="shared" si="3"/>
        <v>-0.7418990715</v>
      </c>
      <c r="D30" s="6">
        <f t="shared" si="4"/>
        <v>-3.027271064</v>
      </c>
      <c r="E30" s="4">
        <f t="shared" ref="E30:N30" si="30">(10 * POWER(-1, E$3 + 1)) / (3 * E$3 * E$3) * COS(E$3 * $A30) + (2 * POWER(-1, E$3+1)) / (3 * E$3) * SIN(E$3 * $A30)</f>
        <v>2.512611443</v>
      </c>
      <c r="F30" s="4">
        <f t="shared" si="30"/>
        <v>-0.09593256252</v>
      </c>
      <c r="G30" s="4">
        <f t="shared" si="30"/>
        <v>-0.2418898968</v>
      </c>
      <c r="H30" s="4">
        <f t="shared" si="30"/>
        <v>0.2548451188</v>
      </c>
      <c r="I30" s="4">
        <f t="shared" si="30"/>
        <v>-0.1770127891</v>
      </c>
      <c r="J30" s="4">
        <f t="shared" si="30"/>
        <v>0.08007554683</v>
      </c>
      <c r="K30" s="4">
        <f t="shared" si="30"/>
        <v>0.003435504606</v>
      </c>
      <c r="L30" s="4">
        <f t="shared" si="30"/>
        <v>-0.05810252509</v>
      </c>
      <c r="M30" s="4">
        <f t="shared" si="30"/>
        <v>0.07974205877</v>
      </c>
      <c r="N30" s="4">
        <f t="shared" si="30"/>
        <v>-0.07239990625</v>
      </c>
    </row>
    <row r="31" ht="22.5" customHeight="1">
      <c r="A31" s="3">
        <v>-0.441600000000008</v>
      </c>
      <c r="B31" s="4">
        <f t="shared" si="2"/>
        <v>-0.5954230857</v>
      </c>
      <c r="C31" s="5">
        <f t="shared" si="3"/>
        <v>-0.6269733369</v>
      </c>
      <c r="D31" s="6">
        <f t="shared" si="4"/>
        <v>-3.027271064</v>
      </c>
      <c r="E31" s="4">
        <f t="shared" ref="E31:N31" si="31">(10 * POWER(-1, E$3 + 1)) / (3 * E$3 * E$3) * COS(E$3 * $A31) + (2 * POWER(-1, E$3+1)) / (3 * E$3) * SIN(E$3 * $A31)</f>
        <v>2.728638993</v>
      </c>
      <c r="F31" s="4">
        <f t="shared" si="31"/>
        <v>-0.2713099972</v>
      </c>
      <c r="G31" s="4">
        <f t="shared" si="31"/>
        <v>-0.1253386403</v>
      </c>
      <c r="H31" s="4">
        <f t="shared" si="31"/>
        <v>0.2039798223</v>
      </c>
      <c r="I31" s="4">
        <f t="shared" si="31"/>
        <v>-0.1864950348</v>
      </c>
      <c r="J31" s="4">
        <f t="shared" si="31"/>
        <v>0.1340975071</v>
      </c>
      <c r="K31" s="4">
        <f t="shared" si="31"/>
        <v>-0.07273812371</v>
      </c>
      <c r="L31" s="4">
        <f t="shared" si="31"/>
        <v>0.01637300257</v>
      </c>
      <c r="M31" s="4">
        <f t="shared" si="31"/>
        <v>0.02711440547</v>
      </c>
      <c r="N31" s="4">
        <f t="shared" si="31"/>
        <v>-0.05402420755</v>
      </c>
    </row>
    <row r="32" ht="22.5" customHeight="1">
      <c r="A32" s="3">
        <v>-0.341600000000008</v>
      </c>
      <c r="B32" s="4">
        <f t="shared" si="2"/>
        <v>-0.4968230857</v>
      </c>
      <c r="C32" s="5">
        <f t="shared" si="3"/>
        <v>-0.4972582192</v>
      </c>
      <c r="D32" s="6">
        <f t="shared" si="4"/>
        <v>-3.027271064</v>
      </c>
      <c r="E32" s="4">
        <f t="shared" ref="E32:N32" si="32">(10 * POWER(-1, E$3 + 1)) / (3 * E$3 * E$3) * COS(E$3 * $A32) + (2 * POWER(-1, E$3+1)) / (3 * E$3) * SIN(E$3 * $A32)</f>
        <v>2.917402884</v>
      </c>
      <c r="F32" s="4">
        <f t="shared" si="32"/>
        <v>-0.4358711584</v>
      </c>
      <c r="G32" s="4">
        <f t="shared" si="32"/>
        <v>0.002408743602</v>
      </c>
      <c r="H32" s="4">
        <f t="shared" si="32"/>
        <v>0.1209105969</v>
      </c>
      <c r="I32" s="4">
        <f t="shared" si="32"/>
        <v>-0.1503167917</v>
      </c>
      <c r="J32" s="4">
        <f t="shared" si="32"/>
        <v>0.1412753501</v>
      </c>
      <c r="K32" s="4">
        <f t="shared" si="32"/>
        <v>-0.1147018759</v>
      </c>
      <c r="L32" s="4">
        <f t="shared" si="32"/>
        <v>0.08091688657</v>
      </c>
      <c r="M32" s="4">
        <f t="shared" si="32"/>
        <v>-0.04603288932</v>
      </c>
      <c r="N32" s="4">
        <f t="shared" si="32"/>
        <v>0.01402109843</v>
      </c>
    </row>
    <row r="33" ht="22.5" customHeight="1">
      <c r="A33" s="3">
        <v>-0.241600000000008</v>
      </c>
      <c r="B33" s="4">
        <f t="shared" si="2"/>
        <v>-0.4148897524</v>
      </c>
      <c r="C33" s="5">
        <f t="shared" si="3"/>
        <v>-0.3843602344</v>
      </c>
      <c r="D33" s="6">
        <f t="shared" si="4"/>
        <v>-3.027271064</v>
      </c>
      <c r="E33" s="4">
        <f t="shared" ref="E33:N33" si="33">(10 * POWER(-1, E$3 + 1)) / (3 * E$3 * E$3) * COS(E$3 * $A33) + (2 * POWER(-1, E$3+1)) / (3 * E$3) * SIN(E$3 * $A33)</f>
        <v>3.07701705</v>
      </c>
      <c r="F33" s="4">
        <f t="shared" si="33"/>
        <v>-0.5830555121</v>
      </c>
      <c r="G33" s="4">
        <f t="shared" si="33"/>
        <v>0.1299409616</v>
      </c>
      <c r="H33" s="4">
        <f t="shared" si="33"/>
        <v>0.01875224691</v>
      </c>
      <c r="I33" s="4">
        <f t="shared" si="33"/>
        <v>-0.07733575547</v>
      </c>
      <c r="J33" s="4">
        <f t="shared" si="33"/>
        <v>0.09910164886</v>
      </c>
      <c r="K33" s="4">
        <f t="shared" si="33"/>
        <v>-0.1027195436</v>
      </c>
      <c r="L33" s="4">
        <f t="shared" si="33"/>
        <v>0.09637767298</v>
      </c>
      <c r="M33" s="4">
        <f t="shared" si="33"/>
        <v>-0.08434341121</v>
      </c>
      <c r="N33" s="4">
        <f t="shared" si="33"/>
        <v>0.06917547117</v>
      </c>
    </row>
    <row r="34" ht="22.5" customHeight="1">
      <c r="A34" s="3">
        <v>-0.141600000000009</v>
      </c>
      <c r="B34" s="4">
        <f t="shared" si="2"/>
        <v>-0.3496230857</v>
      </c>
      <c r="C34" s="5">
        <f t="shared" si="3"/>
        <v>-0.319135571</v>
      </c>
      <c r="D34" s="6">
        <f t="shared" si="4"/>
        <v>-3.027271064</v>
      </c>
      <c r="E34" s="4">
        <f t="shared" ref="E34:N34" si="34">(10 * POWER(-1, E$3 + 1)) / (3 * E$3 * E$3) * COS(E$3 * $A34) + (2 * POWER(-1, E$3+1)) / (3 * E$3) * SIN(E$3 * $A34)</f>
        <v>3.205886679</v>
      </c>
      <c r="F34" s="4">
        <f t="shared" si="34"/>
        <v>-0.7069952824</v>
      </c>
      <c r="G34" s="4">
        <f t="shared" si="34"/>
        <v>0.2458659405</v>
      </c>
      <c r="H34" s="4">
        <f t="shared" si="34"/>
        <v>-0.0863666706</v>
      </c>
      <c r="I34" s="4">
        <f t="shared" si="34"/>
        <v>0.01457977084</v>
      </c>
      <c r="J34" s="4">
        <f t="shared" si="34"/>
        <v>0.02230889045</v>
      </c>
      <c r="K34" s="4">
        <f t="shared" si="34"/>
        <v>-0.04242660486</v>
      </c>
      <c r="L34" s="4">
        <f t="shared" si="34"/>
        <v>0.05337705622</v>
      </c>
      <c r="M34" s="4">
        <f t="shared" si="34"/>
        <v>-0.05882452101</v>
      </c>
      <c r="N34" s="4">
        <f t="shared" si="34"/>
        <v>0.06073023474</v>
      </c>
    </row>
    <row r="35" ht="22.5" customHeight="1">
      <c r="A35" s="3">
        <v>-0.0416000000000092</v>
      </c>
      <c r="B35" s="4">
        <f t="shared" si="2"/>
        <v>-0.3010230857</v>
      </c>
      <c r="C35" s="5">
        <f t="shared" si="3"/>
        <v>-0.3011890281</v>
      </c>
      <c r="D35" s="6">
        <f t="shared" si="4"/>
        <v>-3.027271064</v>
      </c>
      <c r="E35" s="4">
        <f t="shared" ref="E35:N35" si="35">(10 * POWER(-1, E$3 + 1)) / (3 * E$3 * E$3) * COS(E$3 * $A35) + (2 * POWER(-1, E$3+1)) / (3 * E$3) * SIN(E$3 * $A35)</f>
        <v>3.302724148</v>
      </c>
      <c r="F35" s="4">
        <f t="shared" si="35"/>
        <v>-0.8027493818</v>
      </c>
      <c r="G35" s="4">
        <f t="shared" si="35"/>
        <v>0.3398284472</v>
      </c>
      <c r="H35" s="4">
        <f t="shared" si="35"/>
        <v>-0.1778501898</v>
      </c>
      <c r="I35" s="4">
        <f t="shared" si="35"/>
        <v>0.1029256608</v>
      </c>
      <c r="J35" s="4">
        <f t="shared" si="35"/>
        <v>-0.06227700522</v>
      </c>
      <c r="K35" s="4">
        <f t="shared" si="35"/>
        <v>0.03782022903</v>
      </c>
      <c r="L35" s="4">
        <f t="shared" si="35"/>
        <v>-0.02200136659</v>
      </c>
      <c r="M35" s="4">
        <f t="shared" si="35"/>
        <v>0.01121159393</v>
      </c>
      <c r="N35" s="4">
        <f t="shared" si="35"/>
        <v>-0.003550099439</v>
      </c>
    </row>
    <row r="36" ht="22.5" customHeight="1">
      <c r="A36" s="3">
        <v>0.0583999999999905</v>
      </c>
      <c r="B36" s="4">
        <f t="shared" si="2"/>
        <v>-0.2690897524</v>
      </c>
      <c r="C36" s="5">
        <f t="shared" si="3"/>
        <v>-0.2996234757</v>
      </c>
      <c r="D36" s="6">
        <f t="shared" si="4"/>
        <v>-3.027271064</v>
      </c>
      <c r="E36" s="4">
        <f t="shared" ref="E36:N36" si="36">(10 * POWER(-1, E$3 + 1)) / (3 * E$3 * E$3) * COS(E$3 * $A36) + (2 * POWER(-1, E$3+1)) / (3 * E$3) * SIN(E$3 * $A36)</f>
        <v>3.366561888</v>
      </c>
      <c r="F36" s="4">
        <f t="shared" si="36"/>
        <v>-0.8665003966</v>
      </c>
      <c r="G36" s="4">
        <f t="shared" si="36"/>
        <v>0.4034350908</v>
      </c>
      <c r="H36" s="4">
        <f t="shared" si="36"/>
        <v>-0.2412550747</v>
      </c>
      <c r="I36" s="4">
        <f t="shared" si="36"/>
        <v>0.1660717593</v>
      </c>
      <c r="J36" s="4">
        <f t="shared" si="36"/>
        <v>-0.1251077512</v>
      </c>
      <c r="K36" s="4">
        <f t="shared" si="36"/>
        <v>0.1002796183</v>
      </c>
      <c r="L36" s="4">
        <f t="shared" si="36"/>
        <v>-0.08403405566</v>
      </c>
      <c r="M36" s="4">
        <f t="shared" si="36"/>
        <v>0.0727629981</v>
      </c>
      <c r="N36" s="4">
        <f t="shared" si="36"/>
        <v>-0.06456648856</v>
      </c>
    </row>
    <row r="37" ht="22.5" customHeight="1">
      <c r="A37" s="3">
        <v>0.15839999999999</v>
      </c>
      <c r="B37" s="4">
        <f t="shared" si="2"/>
        <v>-0.2538230857</v>
      </c>
      <c r="C37" s="5">
        <f t="shared" si="3"/>
        <v>-0.2839486611</v>
      </c>
      <c r="D37" s="6">
        <f t="shared" si="4"/>
        <v>-3.027271064</v>
      </c>
      <c r="E37" s="4">
        <f t="shared" ref="E37:N37" si="37">(10 * POWER(-1, E$3 + 1)) / (3 * E$3 * E$3) * COS(E$3 * $A37) + (2 * POWER(-1, E$3+1)) / (3 * E$3) * SIN(E$3 * $A37)</f>
        <v>3.396762056</v>
      </c>
      <c r="F37" s="4">
        <f t="shared" si="37"/>
        <v>-0.895706775</v>
      </c>
      <c r="G37" s="4">
        <f t="shared" si="37"/>
        <v>0.4310040793</v>
      </c>
      <c r="H37" s="4">
        <f t="shared" si="37"/>
        <v>-0.266571088</v>
      </c>
      <c r="I37" s="4">
        <f t="shared" si="37"/>
        <v>0.1885576992</v>
      </c>
      <c r="J37" s="4">
        <f t="shared" si="37"/>
        <v>-0.1442347604</v>
      </c>
      <c r="K37" s="4">
        <f t="shared" si="37"/>
        <v>0.1155759361</v>
      </c>
      <c r="L37" s="4">
        <f t="shared" si="37"/>
        <v>-0.09509281419</v>
      </c>
      <c r="M37" s="4">
        <f t="shared" si="37"/>
        <v>0.07924881596</v>
      </c>
      <c r="N37" s="4">
        <f t="shared" si="37"/>
        <v>-0.06622074587</v>
      </c>
    </row>
    <row r="38" ht="22.5" customHeight="1">
      <c r="A38" s="3">
        <v>0.25839999999999</v>
      </c>
      <c r="B38" s="4">
        <f t="shared" si="2"/>
        <v>-0.2552230857</v>
      </c>
      <c r="C38" s="5">
        <f t="shared" si="3"/>
        <v>-0.2544649336</v>
      </c>
      <c r="D38" s="6">
        <f t="shared" si="4"/>
        <v>-3.027271064</v>
      </c>
      <c r="E38" s="4">
        <f t="shared" ref="E38:N38" si="38">(10 * POWER(-1, E$3 + 1)) / (3 * E$3 * E$3) * COS(E$3 * $A38) + (2 * POWER(-1, E$3+1)) / (3 * E$3) * SIN(E$3 * $A38)</f>
        <v>3.393022899</v>
      </c>
      <c r="F38" s="4">
        <f t="shared" si="38"/>
        <v>-0.8892041509</v>
      </c>
      <c r="G38" s="4">
        <f t="shared" si="38"/>
        <v>0.420072757</v>
      </c>
      <c r="H38" s="4">
        <f t="shared" si="38"/>
        <v>-0.2498013878</v>
      </c>
      <c r="I38" s="4">
        <f t="shared" si="38"/>
        <v>0.1648781381</v>
      </c>
      <c r="J38" s="4">
        <f t="shared" si="38"/>
        <v>-0.1129764181</v>
      </c>
      <c r="K38" s="4">
        <f t="shared" si="38"/>
        <v>0.07651508527</v>
      </c>
      <c r="L38" s="4">
        <f t="shared" si="38"/>
        <v>-0.04846954765</v>
      </c>
      <c r="M38" s="4">
        <f t="shared" si="38"/>
        <v>0.02576070984</v>
      </c>
      <c r="N38" s="4">
        <f t="shared" si="38"/>
        <v>-0.006991954813</v>
      </c>
    </row>
    <row r="39" ht="22.5" customHeight="1">
      <c r="A39" s="3">
        <v>0.358399999999989</v>
      </c>
      <c r="B39" s="4">
        <f t="shared" si="2"/>
        <v>-0.2732897524</v>
      </c>
      <c r="C39" s="5">
        <f t="shared" si="3"/>
        <v>-0.2420731966</v>
      </c>
      <c r="D39" s="6">
        <f t="shared" si="4"/>
        <v>-3.027271064</v>
      </c>
      <c r="E39" s="4">
        <f t="shared" ref="E39:N39" si="39">(10 * POWER(-1, E$3 + 1)) / (3 * E$3 * E$3) * COS(E$3 * $A39) + (2 * POWER(-1, E$3+1)) / (3 * E$3) * SIN(E$3 * $A39)</f>
        <v>3.35538178</v>
      </c>
      <c r="F39" s="4">
        <f t="shared" si="39"/>
        <v>-0.8472517633</v>
      </c>
      <c r="G39" s="4">
        <f t="shared" si="39"/>
        <v>0.3716175864</v>
      </c>
      <c r="H39" s="4">
        <f t="shared" si="39"/>
        <v>-0.1935935411</v>
      </c>
      <c r="I39" s="4">
        <f t="shared" si="39"/>
        <v>0.1008306585</v>
      </c>
      <c r="J39" s="4">
        <f t="shared" si="39"/>
        <v>-0.04225216257</v>
      </c>
      <c r="K39" s="4">
        <f t="shared" si="39"/>
        <v>0.001467994263</v>
      </c>
      <c r="L39" s="4">
        <f t="shared" si="39"/>
        <v>0.02755469609</v>
      </c>
      <c r="M39" s="4">
        <f t="shared" si="39"/>
        <v>-0.0472225879</v>
      </c>
      <c r="N39" s="4">
        <f t="shared" si="39"/>
        <v>0.05866520725</v>
      </c>
    </row>
    <row r="40" ht="22.5" customHeight="1">
      <c r="A40" s="3">
        <v>0.458399999999989</v>
      </c>
      <c r="B40" s="4">
        <f t="shared" si="2"/>
        <v>-0.3080230857</v>
      </c>
      <c r="C40" s="5">
        <f t="shared" si="3"/>
        <v>-0.2775925031</v>
      </c>
      <c r="D40" s="6">
        <f t="shared" si="4"/>
        <v>-3.027271064</v>
      </c>
      <c r="E40" s="4">
        <f t="shared" ref="E40:N40" si="40">(10 * POWER(-1, E$3 + 1)) / (3 * E$3 * E$3) * COS(E$3 * $A40) + (2 * POWER(-1, E$3+1)) / (3 * E$3) * SIN(E$3 * $A40)</f>
        <v>3.284214794</v>
      </c>
      <c r="F40" s="4">
        <f t="shared" si="40"/>
        <v>-0.7715221215</v>
      </c>
      <c r="G40" s="4">
        <f t="shared" si="40"/>
        <v>0.2899669236</v>
      </c>
      <c r="H40" s="4">
        <f t="shared" si="40"/>
        <v>-0.1068215311</v>
      </c>
      <c r="I40" s="4">
        <f t="shared" si="40"/>
        <v>0.01209631714</v>
      </c>
      <c r="J40" s="4">
        <f t="shared" si="40"/>
        <v>0.04323198892</v>
      </c>
      <c r="K40" s="4">
        <f t="shared" si="40"/>
        <v>-0.07426951739</v>
      </c>
      <c r="L40" s="4">
        <f t="shared" si="40"/>
        <v>0.08686463093</v>
      </c>
      <c r="M40" s="4">
        <f t="shared" si="40"/>
        <v>-0.08446877258</v>
      </c>
      <c r="N40" s="4">
        <f t="shared" si="40"/>
        <v>0.07038584832</v>
      </c>
    </row>
    <row r="41" ht="22.5" customHeight="1">
      <c r="A41" s="3">
        <v>0.558399999999989</v>
      </c>
      <c r="B41" s="4">
        <f t="shared" si="2"/>
        <v>-0.3594230857</v>
      </c>
      <c r="C41" s="5">
        <f t="shared" si="3"/>
        <v>-0.3608182808</v>
      </c>
      <c r="D41" s="6">
        <f t="shared" si="4"/>
        <v>-3.027271064</v>
      </c>
      <c r="E41" s="4">
        <f t="shared" ref="E41:N41" si="41">(10 * POWER(-1, E$3 + 1)) / (3 * E$3 * E$3) * COS(E$3 * $A41) + (2 * POWER(-1, E$3+1)) / (3 * E$3) * SIN(E$3 * $A41)</f>
        <v>3.180233021</v>
      </c>
      <c r="F41" s="4">
        <f t="shared" si="41"/>
        <v>-0.6650343275</v>
      </c>
      <c r="G41" s="4">
        <f t="shared" si="41"/>
        <v>0.1824143791</v>
      </c>
      <c r="H41" s="4">
        <f t="shared" si="41"/>
        <v>-0.003184750053</v>
      </c>
      <c r="I41" s="4">
        <f t="shared" si="41"/>
        <v>-0.07959962456</v>
      </c>
      <c r="J41" s="4">
        <f t="shared" si="41"/>
        <v>0.1136139629</v>
      </c>
      <c r="K41" s="4">
        <f t="shared" si="41"/>
        <v>-0.1150769145</v>
      </c>
      <c r="L41" s="4">
        <f t="shared" si="41"/>
        <v>0.09348364626</v>
      </c>
      <c r="M41" s="4">
        <f t="shared" si="41"/>
        <v>-0.05779067418</v>
      </c>
      <c r="N41" s="4">
        <f t="shared" si="41"/>
        <v>0.01739406504</v>
      </c>
    </row>
    <row r="42" ht="22.5" customHeight="1">
      <c r="A42" s="3">
        <v>0.658399999999989</v>
      </c>
      <c r="B42" s="4">
        <f t="shared" si="2"/>
        <v>-0.4274897524</v>
      </c>
      <c r="C42" s="5">
        <f t="shared" si="3"/>
        <v>-0.4601393159</v>
      </c>
      <c r="D42" s="6">
        <f t="shared" si="4"/>
        <v>-3.027271064</v>
      </c>
      <c r="E42" s="4">
        <f t="shared" ref="E42:N42" si="42">(10 * POWER(-1, E$3 + 1)) / (3 * E$3 * E$3) * COS(E$3 * $A42) + (2 * POWER(-1, E$3+1)) / (3 * E$3) * SIN(E$3 * $A42)</f>
        <v>3.04447541</v>
      </c>
      <c r="F42" s="4">
        <f t="shared" si="42"/>
        <v>-0.5320337134</v>
      </c>
      <c r="G42" s="4">
        <f t="shared" si="42"/>
        <v>0.05856730135</v>
      </c>
      <c r="H42" s="4">
        <f t="shared" si="42"/>
        <v>0.100954833</v>
      </c>
      <c r="I42" s="4">
        <f t="shared" si="42"/>
        <v>-0.151806802</v>
      </c>
      <c r="J42" s="4">
        <f t="shared" si="42"/>
        <v>0.1443073109</v>
      </c>
      <c r="K42" s="4">
        <f t="shared" si="42"/>
        <v>-0.1017618406</v>
      </c>
      <c r="L42" s="4">
        <f t="shared" si="42"/>
        <v>0.0433967362</v>
      </c>
      <c r="M42" s="4">
        <f t="shared" si="42"/>
        <v>0.01262225429</v>
      </c>
      <c r="N42" s="4">
        <f t="shared" si="42"/>
        <v>-0.05158974142</v>
      </c>
    </row>
    <row r="43" ht="22.5" customHeight="1">
      <c r="A43" s="3">
        <v>0.758399999999988</v>
      </c>
      <c r="B43" s="4">
        <f t="shared" si="2"/>
        <v>-0.5122230857</v>
      </c>
      <c r="C43" s="5">
        <f t="shared" si="3"/>
        <v>-0.5436671188</v>
      </c>
      <c r="D43" s="6">
        <f t="shared" si="4"/>
        <v>-3.027271064</v>
      </c>
      <c r="E43" s="4">
        <f t="shared" ref="E43:N43" si="43">(10 * POWER(-1, E$3 + 1)) / (3 * E$3 * E$3) * COS(E$3 * $A43) + (2 * POWER(-1, E$3+1)) / (3 * E$3) * SIN(E$3 * $A43)</f>
        <v>2.878298407</v>
      </c>
      <c r="F43" s="4">
        <f t="shared" si="43"/>
        <v>-0.3778225941</v>
      </c>
      <c r="G43" s="4">
        <f t="shared" si="43"/>
        <v>-0.07051141897</v>
      </c>
      <c r="H43" s="4">
        <f t="shared" si="43"/>
        <v>0.1891558677</v>
      </c>
      <c r="I43" s="4">
        <f t="shared" si="43"/>
        <v>-0.1868463799</v>
      </c>
      <c r="J43" s="4">
        <f t="shared" si="43"/>
        <v>0.1245899635</v>
      </c>
      <c r="K43" s="4">
        <f t="shared" si="43"/>
        <v>-0.04058658301</v>
      </c>
      <c r="L43" s="4">
        <f t="shared" si="43"/>
        <v>-0.03301405172</v>
      </c>
      <c r="M43" s="4">
        <f t="shared" si="43"/>
        <v>0.07348291236</v>
      </c>
      <c r="N43" s="4">
        <f t="shared" si="43"/>
        <v>-0.07314217753</v>
      </c>
    </row>
    <row r="44" ht="22.5" customHeight="1">
      <c r="A44" s="3">
        <v>0.858399999999988</v>
      </c>
      <c r="B44" s="4">
        <f t="shared" si="2"/>
        <v>-0.6136230857</v>
      </c>
      <c r="C44" s="5">
        <f t="shared" si="3"/>
        <v>-0.6114820965</v>
      </c>
      <c r="D44" s="6">
        <f t="shared" si="4"/>
        <v>-3.027271064</v>
      </c>
      <c r="E44" s="4">
        <f t="shared" ref="E44:N44" si="44">(10 * POWER(-1, E$3 + 1)) / (3 * E$3 * E$3) * COS(E$3 * $A44) + (2 * POWER(-1, E$3+1)) / (3 * E$3) * SIN(E$3 * $A44)</f>
        <v>2.683362398</v>
      </c>
      <c r="F44" s="4">
        <f t="shared" si="44"/>
        <v>-0.2085488803</v>
      </c>
      <c r="G44" s="4">
        <f t="shared" si="44"/>
        <v>-0.1932915642</v>
      </c>
      <c r="H44" s="4">
        <f t="shared" si="44"/>
        <v>0.24749335</v>
      </c>
      <c r="I44" s="4">
        <f t="shared" si="44"/>
        <v>-0.1761394475</v>
      </c>
      <c r="J44" s="4">
        <f t="shared" si="44"/>
        <v>0.06134975736</v>
      </c>
      <c r="K44" s="4">
        <f t="shared" si="44"/>
        <v>0.03967717877</v>
      </c>
      <c r="L44" s="4">
        <f t="shared" si="44"/>
        <v>-0.08939895886</v>
      </c>
      <c r="M44" s="4">
        <f t="shared" si="44"/>
        <v>0.07873316735</v>
      </c>
      <c r="N44" s="4">
        <f t="shared" si="44"/>
        <v>-0.02744803294</v>
      </c>
    </row>
    <row r="45" ht="22.5" customHeight="1">
      <c r="A45" s="3">
        <v>0.958399999999988</v>
      </c>
      <c r="B45" s="4">
        <f t="shared" si="2"/>
        <v>-0.7316897524</v>
      </c>
      <c r="C45" s="5">
        <f t="shared" si="3"/>
        <v>-0.6966885971</v>
      </c>
      <c r="D45" s="6">
        <f t="shared" si="4"/>
        <v>-3.027271064</v>
      </c>
      <c r="E45" s="4">
        <f t="shared" ref="E45:N45" si="45">(10 * POWER(-1, E$3 + 1)) / (3 * E$3 * E$3) * COS(E$3 * $A45) + (2 * POWER(-1, E$3+1)) / (3 * E$3) * SIN(E$3 * $A45)</f>
        <v>2.461615118</v>
      </c>
      <c r="F45" s="4">
        <f t="shared" si="45"/>
        <v>-0.03096098077</v>
      </c>
      <c r="G45" s="4">
        <f t="shared" si="45"/>
        <v>-0.2988055497</v>
      </c>
      <c r="H45" s="4">
        <f t="shared" si="45"/>
        <v>0.2667570743</v>
      </c>
      <c r="I45" s="4">
        <f t="shared" si="45"/>
        <v>-0.1223074353</v>
      </c>
      <c r="J45" s="4">
        <f t="shared" si="45"/>
        <v>-0.02332168408</v>
      </c>
      <c r="K45" s="4">
        <f t="shared" si="45"/>
        <v>0.1012801434</v>
      </c>
      <c r="L45" s="4">
        <f t="shared" si="45"/>
        <v>-0.09155565718</v>
      </c>
      <c r="M45" s="4">
        <f t="shared" si="45"/>
        <v>0.02439973096</v>
      </c>
      <c r="N45" s="4">
        <f t="shared" si="45"/>
        <v>0.04348170656</v>
      </c>
    </row>
    <row r="46" ht="22.5" customHeight="1">
      <c r="A46" s="3">
        <v>1.05839999999999</v>
      </c>
      <c r="B46" s="4">
        <f t="shared" si="2"/>
        <v>-0.8664230857</v>
      </c>
      <c r="C46" s="5">
        <f t="shared" si="3"/>
        <v>-0.8331273427</v>
      </c>
      <c r="D46" s="6">
        <f t="shared" si="4"/>
        <v>-3.027271064</v>
      </c>
      <c r="E46" s="4">
        <f t="shared" ref="E46:N46" si="46">(10 * POWER(-1, E$3 + 1)) / (3 * E$3 * E$3) * COS(E$3 * $A46) + (2 * POWER(-1, E$3+1)) / (3 * E$3) * SIN(E$3 * $A46)</f>
        <v>2.215272195</v>
      </c>
      <c r="F46" s="4">
        <f t="shared" si="46"/>
        <v>0.1478612354</v>
      </c>
      <c r="G46" s="4">
        <f t="shared" si="46"/>
        <v>-0.3776281254</v>
      </c>
      <c r="H46" s="4">
        <f t="shared" si="46"/>
        <v>0.243905722</v>
      </c>
      <c r="I46" s="4">
        <f t="shared" si="46"/>
        <v>-0.03853029726</v>
      </c>
      <c r="J46" s="4">
        <f t="shared" si="46"/>
        <v>-0.0998461903</v>
      </c>
      <c r="K46" s="4">
        <f t="shared" si="46"/>
        <v>0.1152494741</v>
      </c>
      <c r="L46" s="4">
        <f t="shared" si="46"/>
        <v>-0.03817592241</v>
      </c>
      <c r="M46" s="4">
        <f t="shared" si="46"/>
        <v>-0.04839893538</v>
      </c>
      <c r="N46" s="4">
        <f t="shared" si="46"/>
        <v>0.07443456557</v>
      </c>
    </row>
    <row r="47" ht="22.5" customHeight="1">
      <c r="A47" s="3">
        <v>1.15839999999999</v>
      </c>
      <c r="B47" s="4">
        <f t="shared" si="2"/>
        <v>-1.017823086</v>
      </c>
      <c r="C47" s="5">
        <f t="shared" si="3"/>
        <v>-1.020911437</v>
      </c>
      <c r="D47" s="6">
        <f t="shared" si="4"/>
        <v>-3.027271064</v>
      </c>
      <c r="E47" s="4">
        <f t="shared" ref="E47:N47" si="47">(10 * POWER(-1, E$3 + 1)) / (3 * E$3 * E$3) * COS(E$3 * $A47) + (2 * POWER(-1, E$3+1)) / (3 * E$3) * SIN(E$3 * $A47)</f>
        <v>1.946795004</v>
      </c>
      <c r="F47" s="4">
        <f t="shared" si="47"/>
        <v>0.3207886907</v>
      </c>
      <c r="G47" s="4">
        <f t="shared" si="47"/>
        <v>-0.4227183053</v>
      </c>
      <c r="H47" s="4">
        <f t="shared" si="47"/>
        <v>0.1825470192</v>
      </c>
      <c r="I47" s="4">
        <f t="shared" si="47"/>
        <v>0.05468040132</v>
      </c>
      <c r="J47" s="4">
        <f t="shared" si="47"/>
        <v>-0.1414915497</v>
      </c>
      <c r="K47" s="4">
        <f t="shared" si="47"/>
        <v>0.07501517623</v>
      </c>
      <c r="L47" s="4">
        <f t="shared" si="47"/>
        <v>0.03836081462</v>
      </c>
      <c r="M47" s="4">
        <f t="shared" si="47"/>
        <v>-0.08457025232</v>
      </c>
      <c r="N47" s="4">
        <f t="shared" si="47"/>
        <v>0.03695262827</v>
      </c>
    </row>
    <row r="48" ht="22.5" customHeight="1">
      <c r="A48" s="3">
        <v>1.25839999999999</v>
      </c>
      <c r="B48" s="4">
        <f t="shared" si="2"/>
        <v>-1.185889752</v>
      </c>
      <c r="C48" s="5">
        <f t="shared" si="3"/>
        <v>-1.22447965</v>
      </c>
      <c r="D48" s="6">
        <f t="shared" si="4"/>
        <v>-3.027271064</v>
      </c>
      <c r="E48" s="4">
        <f t="shared" ref="E48:N48" si="48">(10 * POWER(-1, E$3 + 1)) / (3 * E$3 * E$3) * COS(E$3 * $A48) + (2 * POWER(-1, E$3+1)) / (3 * E$3) * SIN(E$3 * $A48)</f>
        <v>1.65886608</v>
      </c>
      <c r="F48" s="4">
        <f t="shared" si="48"/>
        <v>0.4809273132</v>
      </c>
      <c r="G48" s="4">
        <f t="shared" si="48"/>
        <v>-0.4300483179</v>
      </c>
      <c r="H48" s="4">
        <f t="shared" si="48"/>
        <v>0.09236815589</v>
      </c>
      <c r="I48" s="4">
        <f t="shared" si="48"/>
        <v>0.1345034306</v>
      </c>
      <c r="J48" s="4">
        <f t="shared" si="48"/>
        <v>-0.13370984</v>
      </c>
      <c r="K48" s="4">
        <f t="shared" si="48"/>
        <v>-0.0004999311229</v>
      </c>
      <c r="L48" s="4">
        <f t="shared" si="48"/>
        <v>0.09162839626</v>
      </c>
      <c r="M48" s="4">
        <f t="shared" si="48"/>
        <v>-0.05674048835</v>
      </c>
      <c r="N48" s="4">
        <f t="shared" si="48"/>
        <v>-0.03450338504</v>
      </c>
    </row>
    <row r="49" ht="22.5" customHeight="1">
      <c r="A49" s="3">
        <v>1.35839999999999</v>
      </c>
      <c r="B49" s="4">
        <f t="shared" si="2"/>
        <v>-1.370623086</v>
      </c>
      <c r="C49" s="5">
        <f t="shared" si="3"/>
        <v>-1.406869268</v>
      </c>
      <c r="D49" s="6">
        <f t="shared" si="4"/>
        <v>-3.027271064</v>
      </c>
      <c r="E49" s="4">
        <f t="shared" ref="E49:N49" si="49">(10 * POWER(-1, E$3 + 1)) / (3 * E$3 * E$3) * COS(E$3 * $A49) + (2 * POWER(-1, E$3+1)) / (3 * E$3) * SIN(E$3 * $A49)</f>
        <v>1.354362315</v>
      </c>
      <c r="F49" s="4">
        <f t="shared" si="49"/>
        <v>0.6218928814</v>
      </c>
      <c r="G49" s="4">
        <f t="shared" si="49"/>
        <v>-0.3989633951</v>
      </c>
      <c r="H49" s="4">
        <f t="shared" si="49"/>
        <v>-0.01239360823</v>
      </c>
      <c r="I49" s="4">
        <f t="shared" si="49"/>
        <v>0.1813953291</v>
      </c>
      <c r="J49" s="4">
        <f t="shared" si="49"/>
        <v>-0.07921943635</v>
      </c>
      <c r="K49" s="4">
        <f t="shared" si="49"/>
        <v>-0.07577991305</v>
      </c>
      <c r="L49" s="4">
        <f t="shared" si="49"/>
        <v>0.08931542226</v>
      </c>
      <c r="M49" s="4">
        <f t="shared" si="49"/>
        <v>0.014029346</v>
      </c>
      <c r="N49" s="4">
        <f t="shared" si="49"/>
        <v>-0.07423714527</v>
      </c>
    </row>
    <row r="50" ht="22.5" customHeight="1">
      <c r="A50" s="3">
        <v>1.45839999999999</v>
      </c>
      <c r="B50" s="4">
        <f t="shared" si="2"/>
        <v>-1.572023086</v>
      </c>
      <c r="C50" s="5">
        <f t="shared" si="3"/>
        <v>-1.567628417</v>
      </c>
      <c r="D50" s="6">
        <f t="shared" si="4"/>
        <v>-3.027271064</v>
      </c>
      <c r="E50" s="4">
        <f t="shared" ref="E50:N50" si="50">(10 * POWER(-1, E$3 + 1)) / (3 * E$3 * E$3) * COS(E$3 * $A50) + (2 * POWER(-1, E$3+1)) / (3 * E$3) * SIN(E$3 * $A50)</f>
        <v>1.03632621</v>
      </c>
      <c r="F50" s="4">
        <f t="shared" si="50"/>
        <v>0.7380655429</v>
      </c>
      <c r="G50" s="4">
        <f t="shared" si="50"/>
        <v>-0.3322402604</v>
      </c>
      <c r="H50" s="4">
        <f t="shared" si="50"/>
        <v>-0.1151986941</v>
      </c>
      <c r="I50" s="4">
        <f t="shared" si="50"/>
        <v>0.1838753247</v>
      </c>
      <c r="J50" s="4">
        <f t="shared" si="50"/>
        <v>0.002944595565</v>
      </c>
      <c r="K50" s="4">
        <f t="shared" si="50"/>
        <v>-0.1154194178</v>
      </c>
      <c r="L50" s="4">
        <f t="shared" si="50"/>
        <v>0.03282491161</v>
      </c>
      <c r="M50" s="4">
        <f t="shared" si="50"/>
        <v>0.07418205099</v>
      </c>
      <c r="N50" s="4">
        <f t="shared" si="50"/>
        <v>-0.0457176165</v>
      </c>
    </row>
    <row r="51" ht="22.5" customHeight="1">
      <c r="A51" s="3">
        <v>1.55839999999999</v>
      </c>
      <c r="B51" s="4">
        <f t="shared" si="2"/>
        <v>-1.790089752</v>
      </c>
      <c r="C51" s="5">
        <f t="shared" si="3"/>
        <v>-1.746083417</v>
      </c>
      <c r="D51" s="6">
        <f t="shared" si="4"/>
        <v>-3.027271064</v>
      </c>
      <c r="E51" s="4">
        <f t="shared" ref="E51:N51" si="51">(10 * POWER(-1, E$3 + 1)) / (3 * E$3 * E$3) * COS(E$3 * $A51) + (2 * POWER(-1, E$3+1)) / (3 * E$3) * SIN(E$3 * $A51)</f>
        <v>0.7079354754</v>
      </c>
      <c r="F51" s="4">
        <f t="shared" si="51"/>
        <v>0.8248138603</v>
      </c>
      <c r="G51" s="4">
        <f t="shared" si="51"/>
        <v>-0.2358390928</v>
      </c>
      <c r="H51" s="4">
        <f t="shared" si="51"/>
        <v>-0.1998164392</v>
      </c>
      <c r="I51" s="4">
        <f t="shared" si="51"/>
        <v>0.1413362279</v>
      </c>
      <c r="J51" s="4">
        <f t="shared" si="51"/>
        <v>0.08407999553</v>
      </c>
      <c r="K51" s="4">
        <f t="shared" si="51"/>
        <v>-0.1007753668</v>
      </c>
      <c r="L51" s="4">
        <f t="shared" si="51"/>
        <v>-0.04357674995</v>
      </c>
      <c r="M51" s="4">
        <f t="shared" si="51"/>
        <v>0.07819525873</v>
      </c>
      <c r="N51" s="4">
        <f t="shared" si="51"/>
        <v>0.02483447805</v>
      </c>
    </row>
    <row r="52" ht="22.5" customHeight="1">
      <c r="A52" s="3">
        <v>1.65839999999999</v>
      </c>
      <c r="B52" s="4">
        <f t="shared" si="2"/>
        <v>-2.024823086</v>
      </c>
      <c r="C52" s="5">
        <f t="shared" si="3"/>
        <v>-1.984036789</v>
      </c>
      <c r="D52" s="6">
        <f t="shared" si="4"/>
        <v>-3.027271064</v>
      </c>
      <c r="E52" s="4">
        <f t="shared" ref="E52:N52" si="52">(10 * POWER(-1, E$3 + 1)) / (3 * E$3 * E$3) * COS(E$3 * $A52) + (2 * POWER(-1, E$3+1)) / (3 * E$3) * SIN(E$3 * $A52)</f>
        <v>0.3724712837</v>
      </c>
      <c r="F52" s="4">
        <f t="shared" si="52"/>
        <v>0.878679452</v>
      </c>
      <c r="G52" s="4">
        <f t="shared" si="52"/>
        <v>-0.1183711214</v>
      </c>
      <c r="H52" s="4">
        <f t="shared" si="52"/>
        <v>-0.2528875621</v>
      </c>
      <c r="I52" s="4">
        <f t="shared" si="52"/>
        <v>0.06419309321</v>
      </c>
      <c r="J52" s="4">
        <f t="shared" si="52"/>
        <v>0.1358438341</v>
      </c>
      <c r="K52" s="4">
        <f t="shared" si="52"/>
        <v>-0.03873508623</v>
      </c>
      <c r="L52" s="4">
        <f t="shared" si="52"/>
        <v>-0.09354533974</v>
      </c>
      <c r="M52" s="4">
        <f t="shared" si="52"/>
        <v>0.02303185361</v>
      </c>
      <c r="N52" s="4">
        <f t="shared" si="52"/>
        <v>0.072553868</v>
      </c>
    </row>
    <row r="53" ht="22.5" customHeight="1">
      <c r="A53" s="3">
        <v>1.75839999999999</v>
      </c>
      <c r="B53" s="4">
        <f t="shared" si="2"/>
        <v>-2.276223086</v>
      </c>
      <c r="C53" s="5">
        <f t="shared" si="3"/>
        <v>-2.282588365</v>
      </c>
      <c r="D53" s="6">
        <f t="shared" si="4"/>
        <v>-3.027271064</v>
      </c>
      <c r="E53" s="4">
        <f t="shared" ref="E53:N53" si="53">(10 * POWER(-1, E$3 + 1)) / (3 * E$3 * E$3) * COS(E$3 * $A53) + (2 * POWER(-1, E$3+1)) / (3 * E$3) * SIN(E$3 * $A53)</f>
        <v>0.03328548214</v>
      </c>
      <c r="F53" s="4">
        <f t="shared" si="53"/>
        <v>0.8975148667</v>
      </c>
      <c r="G53" s="4">
        <f t="shared" si="53"/>
        <v>0.009670589783</v>
      </c>
      <c r="H53" s="4">
        <f t="shared" si="53"/>
        <v>-0.2660332994</v>
      </c>
      <c r="I53" s="4">
        <f t="shared" si="53"/>
        <v>-0.02866674947</v>
      </c>
      <c r="J53" s="4">
        <f t="shared" si="53"/>
        <v>0.1401535131</v>
      </c>
      <c r="K53" s="4">
        <f t="shared" si="53"/>
        <v>0.0415229107</v>
      </c>
      <c r="L53" s="4">
        <f t="shared" si="53"/>
        <v>-0.08677058169</v>
      </c>
      <c r="M53" s="4">
        <f t="shared" si="53"/>
        <v>-0.04956159915</v>
      </c>
      <c r="N53" s="4">
        <f t="shared" si="53"/>
        <v>0.05356756632</v>
      </c>
    </row>
    <row r="54" ht="22.5" customHeight="1">
      <c r="A54" s="3">
        <v>1.85839999999999</v>
      </c>
      <c r="B54" s="4">
        <f t="shared" si="2"/>
        <v>-2.544289752</v>
      </c>
      <c r="C54" s="5">
        <f t="shared" si="3"/>
        <v>-2.596695221</v>
      </c>
      <c r="D54" s="6">
        <f t="shared" si="4"/>
        <v>-3.027271064</v>
      </c>
      <c r="E54" s="4">
        <f t="shared" ref="E54:N54" si="54">(10 * POWER(-1, E$3 + 1)) / (3 * E$3 * E$3) * COS(E$3 * $A54) + (2 * POWER(-1, E$3+1)) / (3 * E$3) * SIN(E$3 * $A54)</f>
        <v>-0.306232897</v>
      </c>
      <c r="F54" s="4">
        <f t="shared" si="54"/>
        <v>0.880569196</v>
      </c>
      <c r="G54" s="4">
        <f t="shared" si="54"/>
        <v>0.136848456</v>
      </c>
      <c r="H54" s="4">
        <f t="shared" si="54"/>
        <v>-0.2371782283</v>
      </c>
      <c r="I54" s="4">
        <f t="shared" si="54"/>
        <v>-0.1145079721</v>
      </c>
      <c r="J54" s="4">
        <f t="shared" si="54"/>
        <v>0.09550353777</v>
      </c>
      <c r="K54" s="4">
        <f t="shared" si="54"/>
        <v>0.1022520339</v>
      </c>
      <c r="L54" s="4">
        <f t="shared" si="54"/>
        <v>-0.02736195314</v>
      </c>
      <c r="M54" s="4">
        <f t="shared" si="54"/>
        <v>-0.08464782176</v>
      </c>
      <c r="N54" s="4">
        <f t="shared" si="54"/>
        <v>-0.0146685088</v>
      </c>
    </row>
    <row r="55" ht="22.5" customHeight="1">
      <c r="A55" s="3">
        <v>1.95839999999998</v>
      </c>
      <c r="B55" s="4">
        <f t="shared" si="2"/>
        <v>-2.829023086</v>
      </c>
      <c r="C55" s="5">
        <f t="shared" si="3"/>
        <v>-2.876900833</v>
      </c>
      <c r="D55" s="6">
        <f t="shared" si="4"/>
        <v>-3.027271064</v>
      </c>
      <c r="E55" s="4">
        <f t="shared" ref="E55:N55" si="55">(10 * POWER(-1, E$3 + 1)) / (3 * E$3 * E$3) * COS(E$3 * $A55) + (2 * POWER(-1, E$3+1)) / (3 * E$3) * SIN(E$3 * $A55)</f>
        <v>-0.6426914982</v>
      </c>
      <c r="F55" s="4">
        <f t="shared" si="55"/>
        <v>0.8285180102</v>
      </c>
      <c r="G55" s="4">
        <f t="shared" si="55"/>
        <v>0.2518020571</v>
      </c>
      <c r="H55" s="4">
        <f t="shared" si="55"/>
        <v>-0.17087793</v>
      </c>
      <c r="I55" s="4">
        <f t="shared" si="55"/>
        <v>-0.1723136495</v>
      </c>
      <c r="J55" s="4">
        <f t="shared" si="55"/>
        <v>0.01749142905</v>
      </c>
      <c r="K55" s="4">
        <f t="shared" si="55"/>
        <v>0.1148904278</v>
      </c>
      <c r="L55" s="4">
        <f t="shared" si="55"/>
        <v>0.04864406902</v>
      </c>
      <c r="M55" s="4">
        <f t="shared" si="55"/>
        <v>-0.05567426044</v>
      </c>
      <c r="N55" s="4">
        <f t="shared" si="55"/>
        <v>-0.06941842458</v>
      </c>
    </row>
    <row r="56" ht="22.5" customHeight="1">
      <c r="A56" s="3">
        <v>2.05839999999998</v>
      </c>
      <c r="B56" s="4">
        <f t="shared" si="2"/>
        <v>-3.130423086</v>
      </c>
      <c r="C56" s="5">
        <f t="shared" si="3"/>
        <v>-3.120737465</v>
      </c>
      <c r="D56" s="6">
        <f t="shared" si="4"/>
        <v>-3.027271064</v>
      </c>
      <c r="E56" s="4">
        <f t="shared" ref="E56:N56" si="56">(10 * POWER(-1, E$3 + 1)) / (3 * E$3 * E$3) * COS(E$3 * $A56) + (2 * POWER(-1, E$3+1)) / (3 * E$3) * SIN(E$3 * $A56)</f>
        <v>-0.9727285385</v>
      </c>
      <c r="F56" s="4">
        <f t="shared" si="56"/>
        <v>0.7434364259</v>
      </c>
      <c r="G56" s="4">
        <f t="shared" si="56"/>
        <v>0.3442629305</v>
      </c>
      <c r="H56" s="4">
        <f t="shared" si="56"/>
        <v>-0.07759976388</v>
      </c>
      <c r="I56" s="4">
        <f t="shared" si="56"/>
        <v>-0.1879309359</v>
      </c>
      <c r="J56" s="4">
        <f t="shared" si="56"/>
        <v>-0.06663093907</v>
      </c>
      <c r="K56" s="4">
        <f t="shared" si="56"/>
        <v>0.07349405835</v>
      </c>
      <c r="L56" s="4">
        <f t="shared" si="56"/>
        <v>0.09514325166</v>
      </c>
      <c r="M56" s="4">
        <f t="shared" si="56"/>
        <v>0.01543247122</v>
      </c>
      <c r="N56" s="4">
        <f t="shared" si="56"/>
        <v>-0.06034536094</v>
      </c>
    </row>
    <row r="57" ht="22.5" customHeight="1">
      <c r="A57" s="3">
        <v>2.15839999999998</v>
      </c>
      <c r="B57" s="4">
        <f t="shared" si="2"/>
        <v>-3.448489752</v>
      </c>
      <c r="C57" s="5">
        <f t="shared" si="3"/>
        <v>-3.382181676</v>
      </c>
      <c r="D57" s="6">
        <f t="shared" si="4"/>
        <v>-3.027271064</v>
      </c>
      <c r="E57" s="4">
        <f t="shared" ref="E57:N57" si="57">(10 * POWER(-1, E$3 + 1)) / (3 * E$3 * E$3) * COS(E$3 * $A57) + (2 * POWER(-1, E$3+1)) / (3 * E$3) * SIN(E$3 * $A57)</f>
        <v>-1.293046397</v>
      </c>
      <c r="F57" s="4">
        <f t="shared" si="57"/>
        <v>0.6287163774</v>
      </c>
      <c r="G57" s="4">
        <f t="shared" si="57"/>
        <v>0.4059718215</v>
      </c>
      <c r="H57" s="4">
        <f t="shared" si="57"/>
        <v>0.02792969875</v>
      </c>
      <c r="I57" s="4">
        <f t="shared" si="57"/>
        <v>-0.1575361749</v>
      </c>
      <c r="J57" s="4">
        <f t="shared" si="57"/>
        <v>-0.1274772032</v>
      </c>
      <c r="K57" s="4">
        <f t="shared" si="57"/>
        <v>-0.002467715164</v>
      </c>
      <c r="L57" s="4">
        <f t="shared" si="57"/>
        <v>0.08392981454</v>
      </c>
      <c r="M57" s="4">
        <f t="shared" si="57"/>
        <v>0.07486021634</v>
      </c>
      <c r="N57" s="4">
        <f t="shared" si="57"/>
        <v>0.004208949253</v>
      </c>
    </row>
    <row r="58" ht="22.5" customHeight="1">
      <c r="A58" s="3">
        <v>2.25839999999998</v>
      </c>
      <c r="B58" s="4">
        <f t="shared" si="2"/>
        <v>-3.783223086</v>
      </c>
      <c r="C58" s="5">
        <f t="shared" si="3"/>
        <v>-3.72361557</v>
      </c>
      <c r="D58" s="6">
        <f t="shared" si="4"/>
        <v>-3.027271064</v>
      </c>
      <c r="E58" s="4">
        <f t="shared" ref="E58:N58" si="58">(10 * POWER(-1, E$3 + 1)) / (3 * E$3 * E$3) * COS(E$3 * $A58) + (2 * POWER(-1, E$3+1)) / (3 * E$3) * SIN(E$3 * $A58)</f>
        <v>-1.600444563</v>
      </c>
      <c r="F58" s="4">
        <f t="shared" si="58"/>
        <v>0.4889313909</v>
      </c>
      <c r="G58" s="4">
        <f t="shared" si="58"/>
        <v>0.4314164588</v>
      </c>
      <c r="H58" s="4">
        <f t="shared" si="58"/>
        <v>0.1290496761</v>
      </c>
      <c r="I58" s="4">
        <f t="shared" si="58"/>
        <v>-0.08857106396</v>
      </c>
      <c r="J58" s="4">
        <f t="shared" si="58"/>
        <v>-0.1437920127</v>
      </c>
      <c r="K58" s="4">
        <f t="shared" si="58"/>
        <v>-0.07726888368</v>
      </c>
      <c r="L58" s="4">
        <f t="shared" si="58"/>
        <v>0.02180567815</v>
      </c>
      <c r="M58" s="4">
        <f t="shared" si="58"/>
        <v>0.07763524218</v>
      </c>
      <c r="N58" s="4">
        <f t="shared" si="58"/>
        <v>0.06489357091</v>
      </c>
    </row>
    <row r="59" ht="22.5" customHeight="1">
      <c r="A59" s="3">
        <v>2.35839999999998</v>
      </c>
      <c r="B59" s="4">
        <f t="shared" si="2"/>
        <v>-4.134623086</v>
      </c>
      <c r="C59" s="5">
        <f t="shared" si="3"/>
        <v>-4.150847705</v>
      </c>
      <c r="D59" s="6">
        <f t="shared" si="4"/>
        <v>-3.027271064</v>
      </c>
      <c r="E59" s="4">
        <f t="shared" ref="E59:N59" si="59">(10 * POWER(-1, E$3 + 1)) / (3 * E$3 * E$3) * COS(E$3 * $A59) + (2 * POWER(-1, E$3+1)) / (3 * E$3) * SIN(E$3 * $A59)</f>
        <v>-1.891851616</v>
      </c>
      <c r="F59" s="4">
        <f t="shared" si="59"/>
        <v>0.3296542527</v>
      </c>
      <c r="G59" s="4">
        <f t="shared" si="59"/>
        <v>0.4183239488</v>
      </c>
      <c r="H59" s="4">
        <f t="shared" si="59"/>
        <v>0.2097955471</v>
      </c>
      <c r="I59" s="4">
        <f t="shared" si="59"/>
        <v>0.002079332444</v>
      </c>
      <c r="J59" s="4">
        <f t="shared" si="59"/>
        <v>-0.1098761352</v>
      </c>
      <c r="K59" s="4">
        <f t="shared" si="59"/>
        <v>-0.1157292888</v>
      </c>
      <c r="L59" s="4">
        <f t="shared" si="59"/>
        <v>-0.05354549</v>
      </c>
      <c r="M59" s="4">
        <f t="shared" si="59"/>
        <v>0.02165746452</v>
      </c>
      <c r="N59" s="4">
        <f t="shared" si="59"/>
        <v>0.06591534274</v>
      </c>
    </row>
    <row r="60" ht="22.5" customHeight="1">
      <c r="A60" s="3">
        <v>2.45839999999998</v>
      </c>
      <c r="B60" s="4">
        <f t="shared" si="2"/>
        <v>-4.502689752</v>
      </c>
      <c r="C60" s="5">
        <f t="shared" si="3"/>
        <v>-4.595018225</v>
      </c>
      <c r="D60" s="6">
        <f t="shared" si="4"/>
        <v>-3.027271064</v>
      </c>
      <c r="E60" s="4">
        <f t="shared" ref="E60:N60" si="60">(10 * POWER(-1, E$3 + 1)) / (3 * E$3 * E$3) * COS(E$3 * $A60) + (2 * POWER(-1, E$3+1)) / (3 * E$3) * SIN(E$3 * $A60)</f>
        <v>-2.164355913</v>
      </c>
      <c r="F60" s="4">
        <f t="shared" si="60"/>
        <v>0.1572348398</v>
      </c>
      <c r="G60" s="4">
        <f t="shared" si="60"/>
        <v>0.3678638062</v>
      </c>
      <c r="H60" s="4">
        <f t="shared" si="60"/>
        <v>0.2574193142</v>
      </c>
      <c r="I60" s="4">
        <f t="shared" si="60"/>
        <v>0.09222063575</v>
      </c>
      <c r="J60" s="4">
        <f t="shared" si="60"/>
        <v>-0.03757736259</v>
      </c>
      <c r="K60" s="4">
        <f t="shared" si="60"/>
        <v>-0.09976040113</v>
      </c>
      <c r="L60" s="4">
        <f t="shared" si="60"/>
        <v>-0.09641668243</v>
      </c>
      <c r="M60" s="4">
        <f t="shared" si="60"/>
        <v>-0.05071025052</v>
      </c>
      <c r="N60" s="4">
        <f t="shared" si="60"/>
        <v>0.006334852444</v>
      </c>
    </row>
    <row r="61" ht="22.5" customHeight="1">
      <c r="A61" s="3">
        <v>2.55839999999998</v>
      </c>
      <c r="B61" s="4">
        <f t="shared" si="2"/>
        <v>-4.887423086</v>
      </c>
      <c r="C61" s="5">
        <f t="shared" si="3"/>
        <v>-4.968828461</v>
      </c>
      <c r="D61" s="6">
        <f t="shared" si="4"/>
        <v>-3.027271064</v>
      </c>
      <c r="E61" s="4">
        <f t="shared" ref="E61:N61" si="61">(10 * POWER(-1, E$3 + 1)) / (3 * E$3 * E$3) * COS(E$3 * $A61) + (2 * POWER(-1, E$3+1)) / (3 * E$3) * SIN(E$3 * $A61)</f>
        <v>-2.415234681</v>
      </c>
      <c r="F61" s="4">
        <f t="shared" si="61"/>
        <v>-0.02145302996</v>
      </c>
      <c r="G61" s="4">
        <f t="shared" si="61"/>
        <v>0.2845434855</v>
      </c>
      <c r="H61" s="4">
        <f t="shared" si="61"/>
        <v>0.2644022317</v>
      </c>
      <c r="I61" s="4">
        <f t="shared" si="61"/>
        <v>0.1597831111</v>
      </c>
      <c r="J61" s="4">
        <f t="shared" si="61"/>
        <v>0.04784826392</v>
      </c>
      <c r="K61" s="4">
        <f t="shared" si="61"/>
        <v>-0.03687263798</v>
      </c>
      <c r="L61" s="4">
        <f t="shared" si="61"/>
        <v>-0.08080280908</v>
      </c>
      <c r="M61" s="4">
        <f t="shared" si="61"/>
        <v>-0.08470145895</v>
      </c>
      <c r="N61" s="4">
        <f t="shared" si="61"/>
        <v>-0.05906987198</v>
      </c>
    </row>
    <row r="62" ht="22.5" customHeight="1">
      <c r="A62" s="3">
        <v>2.65839999999998</v>
      </c>
      <c r="B62" s="4">
        <f t="shared" si="2"/>
        <v>-5.288823086</v>
      </c>
      <c r="C62" s="5">
        <f t="shared" si="3"/>
        <v>-5.255882558</v>
      </c>
      <c r="D62" s="6">
        <f t="shared" si="4"/>
        <v>-3.027271064</v>
      </c>
      <c r="E62" s="4">
        <f t="shared" ref="E62:N62" si="62">(10 * POWER(-1, E$3 + 1)) / (3 * E$3 * E$3) * COS(E$3 * $A62) + (2 * POWER(-1, E$3+1)) / (3 * E$3) * SIN(E$3 * $A62)</f>
        <v>-2.641981223</v>
      </c>
      <c r="F62" s="4">
        <f t="shared" si="62"/>
        <v>-0.1992856351</v>
      </c>
      <c r="G62" s="4">
        <f t="shared" si="62"/>
        <v>0.1758057426</v>
      </c>
      <c r="H62" s="4">
        <f t="shared" si="62"/>
        <v>0.2296418505</v>
      </c>
      <c r="I62" s="4">
        <f t="shared" si="62"/>
        <v>0.1882251083</v>
      </c>
      <c r="J62" s="4">
        <f t="shared" si="62"/>
        <v>0.1165591152</v>
      </c>
      <c r="K62" s="4">
        <f t="shared" si="62"/>
        <v>0.04335690296</v>
      </c>
      <c r="L62" s="4">
        <f t="shared" si="62"/>
        <v>-0.01617503601</v>
      </c>
      <c r="M62" s="4">
        <f t="shared" si="62"/>
        <v>-0.0545922919</v>
      </c>
      <c r="N62" s="4">
        <f t="shared" si="62"/>
        <v>-0.07016602852</v>
      </c>
    </row>
    <row r="63" ht="22.5" customHeight="1">
      <c r="A63" s="3">
        <v>2.75839999999998</v>
      </c>
      <c r="B63" s="4">
        <f t="shared" si="2"/>
        <v>-5.706889752</v>
      </c>
      <c r="C63" s="5">
        <f t="shared" si="3"/>
        <v>-5.552110278</v>
      </c>
      <c r="D63" s="6">
        <f t="shared" si="4"/>
        <v>-3.027271064</v>
      </c>
      <c r="E63" s="4">
        <f t="shared" ref="E63:N63" si="63">(10 * POWER(-1, E$3 + 1)) / (3 * E$3 * E$3) * COS(E$3 * $A63) + (2 * POWER(-1, E$3+1)) / (3 * E$3) * SIN(E$3 * $A63)</f>
        <v>-2.842329961</v>
      </c>
      <c r="F63" s="4">
        <f t="shared" si="63"/>
        <v>-0.3691733509</v>
      </c>
      <c r="G63" s="4">
        <f t="shared" si="63"/>
        <v>0.05136379632</v>
      </c>
      <c r="H63" s="4">
        <f t="shared" si="63"/>
        <v>0.1586260705</v>
      </c>
      <c r="I63" s="4">
        <f t="shared" si="63"/>
        <v>0.1705830343</v>
      </c>
      <c r="J63" s="4">
        <f t="shared" si="63"/>
        <v>0.1445525142</v>
      </c>
      <c r="K63" s="4">
        <f t="shared" si="63"/>
        <v>0.103195015</v>
      </c>
      <c r="L63" s="4">
        <f t="shared" si="63"/>
        <v>0.05826429686</v>
      </c>
      <c r="M63" s="4">
        <f t="shared" si="63"/>
        <v>0.01683123327</v>
      </c>
      <c r="N63" s="4">
        <f t="shared" si="63"/>
        <v>-0.01675186203</v>
      </c>
    </row>
    <row r="64" ht="22.5" customHeight="1">
      <c r="A64" s="3">
        <v>2.85839999999998</v>
      </c>
      <c r="B64" s="4">
        <f t="shared" si="2"/>
        <v>-6.141623086</v>
      </c>
      <c r="C64" s="5">
        <f t="shared" si="3"/>
        <v>-6.008325896</v>
      </c>
      <c r="D64" s="6">
        <f t="shared" si="4"/>
        <v>-3.027271064</v>
      </c>
      <c r="E64" s="4">
        <f t="shared" ref="E64:N64" si="64">(10 * POWER(-1, E$3 + 1)) / (3 * E$3 * E$3) * COS(E$3 * $A64) + (2 * POWER(-1, E$3+1)) / (3 * E$3) * SIN(E$3 * $A64)</f>
        <v>-3.014279078</v>
      </c>
      <c r="F64" s="4">
        <f t="shared" si="64"/>
        <v>-0.5243432902</v>
      </c>
      <c r="G64" s="4">
        <f t="shared" si="64"/>
        <v>-0.0776663249</v>
      </c>
      <c r="H64" s="4">
        <f t="shared" si="64"/>
        <v>0.06256672187</v>
      </c>
      <c r="I64" s="4">
        <f t="shared" si="64"/>
        <v>0.1111762843</v>
      </c>
      <c r="J64" s="4">
        <f t="shared" si="64"/>
        <v>0.1220495611</v>
      </c>
      <c r="K64" s="4">
        <f t="shared" si="64"/>
        <v>0.114498899</v>
      </c>
      <c r="L64" s="4">
        <f t="shared" si="64"/>
        <v>0.09736128908</v>
      </c>
      <c r="M64" s="4">
        <f t="shared" si="64"/>
        <v>0.07551721666</v>
      </c>
      <c r="N64" s="4">
        <f t="shared" si="64"/>
        <v>0.05206388916</v>
      </c>
    </row>
    <row r="65" ht="22.5" customHeight="1">
      <c r="A65" s="3">
        <v>2.95839999999998</v>
      </c>
      <c r="B65" s="4">
        <f t="shared" si="2"/>
        <v>-6.593023086</v>
      </c>
      <c r="C65" s="5">
        <f t="shared" si="3"/>
        <v>-6.704241282</v>
      </c>
      <c r="D65" s="6">
        <f t="shared" si="4"/>
        <v>-3.027271064</v>
      </c>
      <c r="E65" s="4">
        <f t="shared" ref="E65:N65" si="65">(10 * POWER(-1, E$3 + 1)) / (3 * E$3 * E$3) * COS(E$3 * $A65) + (2 * POWER(-1, E$3+1)) / (3 * E$3) * SIN(E$3 * $A65)</f>
        <v>-3.156110515</v>
      </c>
      <c r="F65" s="4">
        <f t="shared" si="65"/>
        <v>-0.6586093172</v>
      </c>
      <c r="G65" s="4">
        <f t="shared" si="65"/>
        <v>-0.1997587446</v>
      </c>
      <c r="H65" s="4">
        <f t="shared" si="65"/>
        <v>-0.04337053647</v>
      </c>
      <c r="I65" s="4">
        <f t="shared" si="65"/>
        <v>0.02454970244</v>
      </c>
      <c r="J65" s="4">
        <f t="shared" si="65"/>
        <v>0.05691118496</v>
      </c>
      <c r="K65" s="4">
        <f t="shared" si="65"/>
        <v>0.0719521617</v>
      </c>
      <c r="L65" s="4">
        <f t="shared" si="65"/>
        <v>0.07740022981</v>
      </c>
      <c r="M65" s="4">
        <f t="shared" si="65"/>
        <v>0.07705327604</v>
      </c>
      <c r="N65" s="4">
        <f t="shared" si="65"/>
        <v>0.07301234075</v>
      </c>
    </row>
    <row r="66" ht="22.5" customHeight="1">
      <c r="A66" s="3">
        <v>3.05839999999998</v>
      </c>
      <c r="B66" s="4">
        <f t="shared" si="2"/>
        <v>-7.061089752</v>
      </c>
      <c r="C66" s="5">
        <f t="shared" si="3"/>
        <v>-7.549795168</v>
      </c>
      <c r="D66" s="6">
        <f t="shared" si="4"/>
        <v>-3.027271064</v>
      </c>
      <c r="E66" s="4">
        <f t="shared" ref="E66:N66" si="66">(10 * POWER(-1, E$3 + 1)) / (3 * E$3 * E$3) * COS(E$3 * $A66) + (2 * POWER(-1, E$3+1)) / (3 * E$3) * SIN(E$3 * $A66)</f>
        <v>-3.266407139</v>
      </c>
      <c r="F66" s="4">
        <f t="shared" si="66"/>
        <v>-0.766618669</v>
      </c>
      <c r="G66" s="4">
        <f t="shared" si="66"/>
        <v>-0.3040073106</v>
      </c>
      <c r="H66" s="4">
        <f t="shared" si="66"/>
        <v>-0.1424605407</v>
      </c>
      <c r="I66" s="4">
        <f t="shared" si="66"/>
        <v>-0.06808750275</v>
      </c>
      <c r="J66" s="4">
        <f t="shared" si="66"/>
        <v>-0.02810790544</v>
      </c>
      <c r="K66" s="4">
        <f t="shared" si="66"/>
        <v>-0.004434801515</v>
      </c>
      <c r="L66" s="4">
        <f t="shared" si="66"/>
        <v>0.01048922974</v>
      </c>
      <c r="M66" s="4">
        <f t="shared" si="66"/>
        <v>0.02027695228</v>
      </c>
      <c r="N66" s="4">
        <f t="shared" si="66"/>
        <v>0.02683358297</v>
      </c>
    </row>
    <row r="67" ht="22.5" customHeight="1">
      <c r="A67" s="3">
        <v>3.15839999999998</v>
      </c>
      <c r="B67" s="4">
        <f t="shared" si="2"/>
        <v>-7.545823086</v>
      </c>
      <c r="C67" s="5">
        <f t="shared" si="3"/>
        <v>-8.300305713</v>
      </c>
      <c r="D67" s="6">
        <f t="shared" si="4"/>
        <v>-3.027271064</v>
      </c>
      <c r="E67" s="4">
        <f t="shared" ref="E67:N67" si="67">(10 * POWER(-1, E$3 + 1)) / (3 * E$3 * E$3) * COS(E$3 * $A67) + (2 * POWER(-1, E$3+1)) / (3 * E$3) * SIN(E$3 * $A67)</f>
        <v>-3.344066903</v>
      </c>
      <c r="F67" s="4">
        <f t="shared" si="67"/>
        <v>-0.8440653537</v>
      </c>
      <c r="G67" s="4">
        <f t="shared" si="67"/>
        <v>-0.381099809</v>
      </c>
      <c r="H67" s="4">
        <f t="shared" si="67"/>
        <v>-0.219059158</v>
      </c>
      <c r="I67" s="4">
        <f t="shared" si="67"/>
        <v>-0.1440545126</v>
      </c>
      <c r="J67" s="4">
        <f t="shared" si="67"/>
        <v>-0.1033080958</v>
      </c>
      <c r="K67" s="4">
        <f t="shared" si="67"/>
        <v>-0.07873600828</v>
      </c>
      <c r="L67" s="4">
        <f t="shared" si="67"/>
        <v>-0.06278439633</v>
      </c>
      <c r="M67" s="4">
        <f t="shared" si="67"/>
        <v>-0.05184456471</v>
      </c>
      <c r="N67" s="4">
        <f t="shared" si="67"/>
        <v>-0.04401584724</v>
      </c>
    </row>
  </sheetData>
  <dataValidations>
    <dataValidation type="custom" allowBlank="1" showDropDown="1" sqref="C4:D67">
      <formula1>AND(ISNUMBER(C4),(NOT(OR(NOT(ISERROR(DATEVALUE(C4))), AND(ISNUMBER(C4), LEFT(CELL("format", C4))="D")))))</formula1>
    </dataValidation>
  </dataValidations>
  <drawing r:id="rId1"/>
  <tableParts count="1">
    <tablePart r:id="rId3"/>
  </tableParts>
</worksheet>
</file>