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9b8ba1ff670809/Documentos/6BM1/Computo Paralelo/Capitulos/"/>
    </mc:Choice>
  </mc:AlternateContent>
  <xr:revisionPtr revIDLastSave="85" documentId="8_{F65111B3-D0F5-480C-A4C9-2DB7590D8176}" xr6:coauthVersionLast="47" xr6:coauthVersionMax="47" xr10:uidLastSave="{DC73B99C-4B9C-4C4E-B91B-12CB20582BD4}"/>
  <bookViews>
    <workbookView xWindow="-108" yWindow="-108" windowWidth="23256" windowHeight="12456" xr2:uid="{89977B53-F142-4E9F-A9A5-C08EAA6F6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3" i="1"/>
  <c r="E4" i="1"/>
  <c r="F4" i="1"/>
  <c r="G4" i="1"/>
  <c r="H4" i="1"/>
  <c r="I4" i="1"/>
  <c r="J4" i="1"/>
  <c r="K4" i="1"/>
  <c r="L4" i="1"/>
  <c r="M4" i="1"/>
  <c r="N4" i="1"/>
  <c r="E5" i="1"/>
  <c r="F5" i="1"/>
  <c r="G5" i="1"/>
  <c r="H5" i="1"/>
  <c r="I5" i="1"/>
  <c r="J5" i="1"/>
  <c r="K5" i="1"/>
  <c r="L5" i="1"/>
  <c r="M5" i="1"/>
  <c r="N5" i="1"/>
  <c r="E6" i="1"/>
  <c r="F6" i="1"/>
  <c r="G6" i="1"/>
  <c r="H6" i="1"/>
  <c r="I6" i="1"/>
  <c r="J6" i="1"/>
  <c r="K6" i="1"/>
  <c r="L6" i="1"/>
  <c r="M6" i="1"/>
  <c r="N6" i="1"/>
  <c r="E7" i="1"/>
  <c r="F7" i="1"/>
  <c r="G7" i="1"/>
  <c r="H7" i="1"/>
  <c r="I7" i="1"/>
  <c r="J7" i="1"/>
  <c r="K7" i="1"/>
  <c r="L7" i="1"/>
  <c r="M7" i="1"/>
  <c r="N7" i="1"/>
  <c r="E8" i="1"/>
  <c r="F8" i="1"/>
  <c r="G8" i="1"/>
  <c r="H8" i="1"/>
  <c r="I8" i="1"/>
  <c r="J8" i="1"/>
  <c r="K8" i="1"/>
  <c r="L8" i="1"/>
  <c r="M8" i="1"/>
  <c r="N8" i="1"/>
  <c r="E9" i="1"/>
  <c r="F9" i="1"/>
  <c r="G9" i="1"/>
  <c r="H9" i="1"/>
  <c r="I9" i="1"/>
  <c r="J9" i="1"/>
  <c r="K9" i="1"/>
  <c r="L9" i="1"/>
  <c r="M9" i="1"/>
  <c r="N9" i="1"/>
  <c r="E10" i="1"/>
  <c r="F10" i="1"/>
  <c r="G10" i="1"/>
  <c r="H10" i="1"/>
  <c r="I10" i="1"/>
  <c r="J10" i="1"/>
  <c r="K10" i="1"/>
  <c r="L10" i="1"/>
  <c r="M10" i="1"/>
  <c r="N10" i="1"/>
  <c r="E11" i="1"/>
  <c r="F11" i="1"/>
  <c r="G11" i="1"/>
  <c r="H11" i="1"/>
  <c r="I11" i="1"/>
  <c r="J11" i="1"/>
  <c r="K11" i="1"/>
  <c r="L11" i="1"/>
  <c r="M11" i="1"/>
  <c r="N11" i="1"/>
  <c r="E12" i="1"/>
  <c r="F12" i="1"/>
  <c r="G12" i="1"/>
  <c r="H12" i="1"/>
  <c r="I12" i="1"/>
  <c r="J12" i="1"/>
  <c r="K12" i="1"/>
  <c r="L12" i="1"/>
  <c r="M12" i="1"/>
  <c r="N12" i="1"/>
  <c r="E13" i="1"/>
  <c r="F13" i="1"/>
  <c r="G13" i="1"/>
  <c r="H13" i="1"/>
  <c r="I13" i="1"/>
  <c r="J13" i="1"/>
  <c r="K13" i="1"/>
  <c r="L13" i="1"/>
  <c r="M13" i="1"/>
  <c r="N13" i="1"/>
  <c r="E14" i="1"/>
  <c r="F14" i="1"/>
  <c r="G14" i="1"/>
  <c r="H14" i="1"/>
  <c r="I14" i="1"/>
  <c r="J14" i="1"/>
  <c r="K14" i="1"/>
  <c r="L14" i="1"/>
  <c r="M14" i="1"/>
  <c r="N14" i="1"/>
  <c r="E15" i="1"/>
  <c r="F15" i="1"/>
  <c r="G15" i="1"/>
  <c r="H15" i="1"/>
  <c r="I15" i="1"/>
  <c r="J15" i="1"/>
  <c r="K15" i="1"/>
  <c r="L15" i="1"/>
  <c r="M15" i="1"/>
  <c r="N15" i="1"/>
  <c r="E16" i="1"/>
  <c r="F16" i="1"/>
  <c r="G16" i="1"/>
  <c r="H16" i="1"/>
  <c r="I16" i="1"/>
  <c r="J16" i="1"/>
  <c r="K16" i="1"/>
  <c r="L16" i="1"/>
  <c r="M16" i="1"/>
  <c r="N16" i="1"/>
  <c r="E17" i="1"/>
  <c r="F17" i="1"/>
  <c r="G17" i="1"/>
  <c r="H17" i="1"/>
  <c r="I17" i="1"/>
  <c r="J17" i="1"/>
  <c r="K17" i="1"/>
  <c r="L17" i="1"/>
  <c r="M17" i="1"/>
  <c r="N17" i="1"/>
  <c r="E18" i="1"/>
  <c r="F18" i="1"/>
  <c r="G18" i="1"/>
  <c r="H18" i="1"/>
  <c r="I18" i="1"/>
  <c r="J18" i="1"/>
  <c r="K18" i="1"/>
  <c r="L18" i="1"/>
  <c r="M18" i="1"/>
  <c r="N18" i="1"/>
  <c r="E19" i="1"/>
  <c r="F19" i="1"/>
  <c r="G19" i="1"/>
  <c r="H19" i="1"/>
  <c r="I19" i="1"/>
  <c r="J19" i="1"/>
  <c r="K19" i="1"/>
  <c r="L19" i="1"/>
  <c r="M19" i="1"/>
  <c r="N19" i="1"/>
  <c r="E20" i="1"/>
  <c r="F20" i="1"/>
  <c r="G20" i="1"/>
  <c r="H20" i="1"/>
  <c r="I20" i="1"/>
  <c r="J20" i="1"/>
  <c r="K20" i="1"/>
  <c r="L20" i="1"/>
  <c r="M20" i="1"/>
  <c r="N20" i="1"/>
  <c r="E21" i="1"/>
  <c r="F21" i="1"/>
  <c r="G21" i="1"/>
  <c r="H21" i="1"/>
  <c r="I21" i="1"/>
  <c r="J21" i="1"/>
  <c r="K21" i="1"/>
  <c r="L21" i="1"/>
  <c r="M21" i="1"/>
  <c r="N21" i="1"/>
  <c r="E22" i="1"/>
  <c r="F22" i="1"/>
  <c r="G22" i="1"/>
  <c r="H22" i="1"/>
  <c r="I22" i="1"/>
  <c r="J22" i="1"/>
  <c r="K22" i="1"/>
  <c r="L22" i="1"/>
  <c r="M22" i="1"/>
  <c r="N22" i="1"/>
  <c r="E23" i="1"/>
  <c r="F23" i="1"/>
  <c r="G23" i="1"/>
  <c r="H23" i="1"/>
  <c r="I23" i="1"/>
  <c r="J23" i="1"/>
  <c r="K23" i="1"/>
  <c r="L23" i="1"/>
  <c r="M23" i="1"/>
  <c r="N23" i="1"/>
  <c r="E24" i="1"/>
  <c r="F24" i="1"/>
  <c r="G24" i="1"/>
  <c r="H24" i="1"/>
  <c r="I24" i="1"/>
  <c r="J24" i="1"/>
  <c r="K24" i="1"/>
  <c r="L24" i="1"/>
  <c r="M24" i="1"/>
  <c r="N24" i="1"/>
  <c r="E25" i="1"/>
  <c r="F25" i="1"/>
  <c r="G25" i="1"/>
  <c r="H25" i="1"/>
  <c r="I25" i="1"/>
  <c r="J25" i="1"/>
  <c r="K25" i="1"/>
  <c r="L25" i="1"/>
  <c r="M25" i="1"/>
  <c r="N25" i="1"/>
  <c r="E26" i="1"/>
  <c r="F26" i="1"/>
  <c r="G26" i="1"/>
  <c r="H26" i="1"/>
  <c r="I26" i="1"/>
  <c r="J26" i="1"/>
  <c r="K26" i="1"/>
  <c r="L26" i="1"/>
  <c r="M26" i="1"/>
  <c r="N26" i="1"/>
  <c r="E27" i="1"/>
  <c r="F27" i="1"/>
  <c r="G27" i="1"/>
  <c r="H27" i="1"/>
  <c r="I27" i="1"/>
  <c r="J27" i="1"/>
  <c r="K27" i="1"/>
  <c r="L27" i="1"/>
  <c r="M27" i="1"/>
  <c r="N27" i="1"/>
  <c r="E28" i="1"/>
  <c r="F28" i="1"/>
  <c r="G28" i="1"/>
  <c r="H28" i="1"/>
  <c r="I28" i="1"/>
  <c r="J28" i="1"/>
  <c r="K28" i="1"/>
  <c r="L28" i="1"/>
  <c r="M28" i="1"/>
  <c r="N28" i="1"/>
  <c r="E29" i="1"/>
  <c r="F29" i="1"/>
  <c r="G29" i="1"/>
  <c r="H29" i="1"/>
  <c r="I29" i="1"/>
  <c r="J29" i="1"/>
  <c r="K29" i="1"/>
  <c r="L29" i="1"/>
  <c r="M29" i="1"/>
  <c r="N29" i="1"/>
  <c r="E30" i="1"/>
  <c r="F30" i="1"/>
  <c r="G30" i="1"/>
  <c r="H30" i="1"/>
  <c r="I30" i="1"/>
  <c r="J30" i="1"/>
  <c r="K30" i="1"/>
  <c r="L30" i="1"/>
  <c r="M30" i="1"/>
  <c r="N30" i="1"/>
  <c r="E31" i="1"/>
  <c r="F31" i="1"/>
  <c r="G31" i="1"/>
  <c r="H31" i="1"/>
  <c r="I31" i="1"/>
  <c r="J31" i="1"/>
  <c r="K31" i="1"/>
  <c r="L31" i="1"/>
  <c r="M31" i="1"/>
  <c r="N31" i="1"/>
  <c r="E32" i="1"/>
  <c r="F32" i="1"/>
  <c r="G32" i="1"/>
  <c r="H32" i="1"/>
  <c r="I32" i="1"/>
  <c r="J32" i="1"/>
  <c r="K32" i="1"/>
  <c r="L32" i="1"/>
  <c r="M32" i="1"/>
  <c r="N32" i="1"/>
  <c r="E33" i="1"/>
  <c r="F33" i="1"/>
  <c r="G33" i="1"/>
  <c r="H33" i="1"/>
  <c r="I33" i="1"/>
  <c r="J33" i="1"/>
  <c r="K33" i="1"/>
  <c r="L33" i="1"/>
  <c r="M33" i="1"/>
  <c r="N33" i="1"/>
  <c r="E34" i="1"/>
  <c r="F34" i="1"/>
  <c r="G34" i="1"/>
  <c r="H34" i="1"/>
  <c r="I34" i="1"/>
  <c r="J34" i="1"/>
  <c r="K34" i="1"/>
  <c r="L34" i="1"/>
  <c r="M34" i="1"/>
  <c r="N34" i="1"/>
  <c r="E35" i="1"/>
  <c r="F35" i="1"/>
  <c r="G35" i="1"/>
  <c r="H35" i="1"/>
  <c r="I35" i="1"/>
  <c r="J35" i="1"/>
  <c r="K35" i="1"/>
  <c r="L35" i="1"/>
  <c r="M35" i="1"/>
  <c r="N35" i="1"/>
  <c r="E36" i="1"/>
  <c r="F36" i="1"/>
  <c r="G36" i="1"/>
  <c r="H36" i="1"/>
  <c r="I36" i="1"/>
  <c r="J36" i="1"/>
  <c r="K36" i="1"/>
  <c r="L36" i="1"/>
  <c r="M36" i="1"/>
  <c r="N36" i="1"/>
  <c r="E37" i="1"/>
  <c r="F37" i="1"/>
  <c r="G37" i="1"/>
  <c r="H37" i="1"/>
  <c r="I37" i="1"/>
  <c r="J37" i="1"/>
  <c r="K37" i="1"/>
  <c r="L37" i="1"/>
  <c r="M37" i="1"/>
  <c r="N37" i="1"/>
  <c r="E38" i="1"/>
  <c r="F38" i="1"/>
  <c r="G38" i="1"/>
  <c r="H38" i="1"/>
  <c r="I38" i="1"/>
  <c r="J38" i="1"/>
  <c r="K38" i="1"/>
  <c r="L38" i="1"/>
  <c r="M38" i="1"/>
  <c r="N38" i="1"/>
  <c r="E39" i="1"/>
  <c r="F39" i="1"/>
  <c r="G39" i="1"/>
  <c r="H39" i="1"/>
  <c r="I39" i="1"/>
  <c r="J39" i="1"/>
  <c r="K39" i="1"/>
  <c r="L39" i="1"/>
  <c r="M39" i="1"/>
  <c r="N39" i="1"/>
  <c r="E40" i="1"/>
  <c r="F40" i="1"/>
  <c r="G40" i="1"/>
  <c r="H40" i="1"/>
  <c r="I40" i="1"/>
  <c r="J40" i="1"/>
  <c r="K40" i="1"/>
  <c r="L40" i="1"/>
  <c r="M40" i="1"/>
  <c r="N40" i="1"/>
  <c r="E41" i="1"/>
  <c r="F41" i="1"/>
  <c r="G41" i="1"/>
  <c r="H41" i="1"/>
  <c r="I41" i="1"/>
  <c r="J41" i="1"/>
  <c r="K41" i="1"/>
  <c r="L41" i="1"/>
  <c r="M41" i="1"/>
  <c r="N41" i="1"/>
  <c r="E42" i="1"/>
  <c r="F42" i="1"/>
  <c r="G42" i="1"/>
  <c r="H42" i="1"/>
  <c r="I42" i="1"/>
  <c r="J42" i="1"/>
  <c r="K42" i="1"/>
  <c r="L42" i="1"/>
  <c r="M42" i="1"/>
  <c r="N42" i="1"/>
  <c r="E43" i="1"/>
  <c r="F43" i="1"/>
  <c r="G43" i="1"/>
  <c r="H43" i="1"/>
  <c r="I43" i="1"/>
  <c r="J43" i="1"/>
  <c r="K43" i="1"/>
  <c r="L43" i="1"/>
  <c r="M43" i="1"/>
  <c r="N43" i="1"/>
  <c r="E44" i="1"/>
  <c r="F44" i="1"/>
  <c r="G44" i="1"/>
  <c r="H44" i="1"/>
  <c r="I44" i="1"/>
  <c r="J44" i="1"/>
  <c r="K44" i="1"/>
  <c r="L44" i="1"/>
  <c r="M44" i="1"/>
  <c r="N44" i="1"/>
  <c r="E45" i="1"/>
  <c r="F45" i="1"/>
  <c r="G45" i="1"/>
  <c r="H45" i="1"/>
  <c r="I45" i="1"/>
  <c r="J45" i="1"/>
  <c r="K45" i="1"/>
  <c r="L45" i="1"/>
  <c r="M45" i="1"/>
  <c r="N45" i="1"/>
  <c r="E46" i="1"/>
  <c r="F46" i="1"/>
  <c r="G46" i="1"/>
  <c r="H46" i="1"/>
  <c r="I46" i="1"/>
  <c r="J46" i="1"/>
  <c r="K46" i="1"/>
  <c r="L46" i="1"/>
  <c r="M46" i="1"/>
  <c r="N46" i="1"/>
  <c r="E47" i="1"/>
  <c r="F47" i="1"/>
  <c r="G47" i="1"/>
  <c r="H47" i="1"/>
  <c r="I47" i="1"/>
  <c r="J47" i="1"/>
  <c r="K47" i="1"/>
  <c r="L47" i="1"/>
  <c r="M47" i="1"/>
  <c r="N47" i="1"/>
  <c r="E48" i="1"/>
  <c r="F48" i="1"/>
  <c r="G48" i="1"/>
  <c r="H48" i="1"/>
  <c r="I48" i="1"/>
  <c r="J48" i="1"/>
  <c r="K48" i="1"/>
  <c r="L48" i="1"/>
  <c r="M48" i="1"/>
  <c r="N48" i="1"/>
  <c r="E49" i="1"/>
  <c r="F49" i="1"/>
  <c r="G49" i="1"/>
  <c r="H49" i="1"/>
  <c r="I49" i="1"/>
  <c r="J49" i="1"/>
  <c r="K49" i="1"/>
  <c r="L49" i="1"/>
  <c r="M49" i="1"/>
  <c r="N49" i="1"/>
  <c r="E50" i="1"/>
  <c r="F50" i="1"/>
  <c r="G50" i="1"/>
  <c r="H50" i="1"/>
  <c r="I50" i="1"/>
  <c r="J50" i="1"/>
  <c r="K50" i="1"/>
  <c r="L50" i="1"/>
  <c r="M50" i="1"/>
  <c r="N50" i="1"/>
  <c r="E51" i="1"/>
  <c r="F51" i="1"/>
  <c r="G51" i="1"/>
  <c r="H51" i="1"/>
  <c r="I51" i="1"/>
  <c r="J51" i="1"/>
  <c r="K51" i="1"/>
  <c r="L51" i="1"/>
  <c r="M51" i="1"/>
  <c r="N51" i="1"/>
  <c r="E52" i="1"/>
  <c r="F52" i="1"/>
  <c r="G52" i="1"/>
  <c r="H52" i="1"/>
  <c r="I52" i="1"/>
  <c r="J52" i="1"/>
  <c r="K52" i="1"/>
  <c r="L52" i="1"/>
  <c r="M52" i="1"/>
  <c r="N52" i="1"/>
  <c r="E53" i="1"/>
  <c r="F53" i="1"/>
  <c r="G53" i="1"/>
  <c r="H53" i="1"/>
  <c r="I53" i="1"/>
  <c r="J53" i="1"/>
  <c r="K53" i="1"/>
  <c r="L53" i="1"/>
  <c r="M53" i="1"/>
  <c r="N53" i="1"/>
  <c r="E54" i="1"/>
  <c r="F54" i="1"/>
  <c r="G54" i="1"/>
  <c r="H54" i="1"/>
  <c r="I54" i="1"/>
  <c r="J54" i="1"/>
  <c r="K54" i="1"/>
  <c r="L54" i="1"/>
  <c r="M54" i="1"/>
  <c r="N54" i="1"/>
  <c r="E55" i="1"/>
  <c r="F55" i="1"/>
  <c r="G55" i="1"/>
  <c r="H55" i="1"/>
  <c r="I55" i="1"/>
  <c r="J55" i="1"/>
  <c r="K55" i="1"/>
  <c r="L55" i="1"/>
  <c r="M55" i="1"/>
  <c r="N55" i="1"/>
  <c r="E56" i="1"/>
  <c r="F56" i="1"/>
  <c r="G56" i="1"/>
  <c r="H56" i="1"/>
  <c r="I56" i="1"/>
  <c r="J56" i="1"/>
  <c r="K56" i="1"/>
  <c r="L56" i="1"/>
  <c r="M56" i="1"/>
  <c r="N56" i="1"/>
  <c r="E57" i="1"/>
  <c r="F57" i="1"/>
  <c r="G57" i="1"/>
  <c r="H57" i="1"/>
  <c r="I57" i="1"/>
  <c r="J57" i="1"/>
  <c r="K57" i="1"/>
  <c r="L57" i="1"/>
  <c r="M57" i="1"/>
  <c r="N57" i="1"/>
  <c r="E58" i="1"/>
  <c r="F58" i="1"/>
  <c r="G58" i="1"/>
  <c r="H58" i="1"/>
  <c r="I58" i="1"/>
  <c r="J58" i="1"/>
  <c r="K58" i="1"/>
  <c r="L58" i="1"/>
  <c r="M58" i="1"/>
  <c r="N58" i="1"/>
  <c r="E59" i="1"/>
  <c r="F59" i="1"/>
  <c r="G59" i="1"/>
  <c r="H59" i="1"/>
  <c r="I59" i="1"/>
  <c r="J59" i="1"/>
  <c r="K59" i="1"/>
  <c r="L59" i="1"/>
  <c r="M59" i="1"/>
  <c r="N59" i="1"/>
  <c r="E60" i="1"/>
  <c r="F60" i="1"/>
  <c r="G60" i="1"/>
  <c r="H60" i="1"/>
  <c r="I60" i="1"/>
  <c r="J60" i="1"/>
  <c r="K60" i="1"/>
  <c r="L60" i="1"/>
  <c r="M60" i="1"/>
  <c r="N60" i="1"/>
  <c r="E61" i="1"/>
  <c r="F61" i="1"/>
  <c r="G61" i="1"/>
  <c r="H61" i="1"/>
  <c r="I61" i="1"/>
  <c r="J61" i="1"/>
  <c r="K61" i="1"/>
  <c r="L61" i="1"/>
  <c r="M61" i="1"/>
  <c r="N61" i="1"/>
  <c r="E62" i="1"/>
  <c r="F62" i="1"/>
  <c r="G62" i="1"/>
  <c r="H62" i="1"/>
  <c r="I62" i="1"/>
  <c r="J62" i="1"/>
  <c r="K62" i="1"/>
  <c r="L62" i="1"/>
  <c r="M62" i="1"/>
  <c r="N62" i="1"/>
  <c r="E63" i="1"/>
  <c r="F63" i="1"/>
  <c r="G63" i="1"/>
  <c r="H63" i="1"/>
  <c r="I63" i="1"/>
  <c r="J63" i="1"/>
  <c r="K63" i="1"/>
  <c r="L63" i="1"/>
  <c r="M63" i="1"/>
  <c r="N63" i="1"/>
  <c r="E64" i="1"/>
  <c r="F64" i="1"/>
  <c r="G64" i="1"/>
  <c r="H64" i="1"/>
  <c r="I64" i="1"/>
  <c r="J64" i="1"/>
  <c r="K64" i="1"/>
  <c r="L64" i="1"/>
  <c r="M64" i="1"/>
  <c r="N64" i="1"/>
  <c r="E65" i="1"/>
  <c r="F65" i="1"/>
  <c r="G65" i="1"/>
  <c r="H65" i="1"/>
  <c r="I65" i="1"/>
  <c r="J65" i="1"/>
  <c r="K65" i="1"/>
  <c r="L65" i="1"/>
  <c r="M65" i="1"/>
  <c r="N65" i="1"/>
  <c r="E66" i="1"/>
  <c r="F66" i="1"/>
  <c r="G66" i="1"/>
  <c r="H66" i="1"/>
  <c r="I66" i="1"/>
  <c r="J66" i="1"/>
  <c r="K66" i="1"/>
  <c r="L66" i="1"/>
  <c r="M66" i="1"/>
  <c r="N66" i="1"/>
  <c r="F3" i="1"/>
  <c r="G3" i="1"/>
  <c r="H3" i="1"/>
  <c r="I3" i="1"/>
  <c r="J3" i="1"/>
  <c r="K3" i="1"/>
  <c r="L3" i="1"/>
  <c r="M3" i="1"/>
  <c r="N3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3" i="1"/>
  <c r="A66" i="1"/>
  <c r="A64" i="1"/>
  <c r="A65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4" i="1"/>
  <c r="A3" i="1"/>
</calcChain>
</file>

<file path=xl/sharedStrings.xml><?xml version="1.0" encoding="utf-8"?>
<sst xmlns="http://schemas.openxmlformats.org/spreadsheetml/2006/main" count="17" uniqueCount="7">
  <si>
    <t>x</t>
  </si>
  <si>
    <t>f(x)</t>
  </si>
  <si>
    <t>F(x)</t>
  </si>
  <si>
    <t>a0</t>
  </si>
  <si>
    <t>n</t>
  </si>
  <si>
    <t>a_n</t>
  </si>
  <si>
    <t>b_n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</si>
</sst>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Grafico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Hoja1!$A$3:$A$66</c:f>
              <c:numCache>
                <c:formatCode>#,##0.0000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-2.9415999999999998</c:v>
                </c:pt>
                <c:pt idx="3">
                  <c:v>-2.8415999999999997</c:v>
                </c:pt>
                <c:pt idx="4">
                  <c:v>-2.7415999999999996</c:v>
                </c:pt>
                <c:pt idx="5">
                  <c:v>-2.6415999999999995</c:v>
                </c:pt>
                <c:pt idx="6">
                  <c:v>-2.5415999999999994</c:v>
                </c:pt>
                <c:pt idx="7">
                  <c:v>-2.4415999999999993</c:v>
                </c:pt>
                <c:pt idx="8">
                  <c:v>-2.3415999999999992</c:v>
                </c:pt>
                <c:pt idx="9">
                  <c:v>-2.2415999999999991</c:v>
                </c:pt>
                <c:pt idx="10">
                  <c:v>-2.1415999999999991</c:v>
                </c:pt>
                <c:pt idx="11">
                  <c:v>-2.041599999999999</c:v>
                </c:pt>
                <c:pt idx="12">
                  <c:v>-1.9415999999999989</c:v>
                </c:pt>
                <c:pt idx="13">
                  <c:v>-1.8415999999999988</c:v>
                </c:pt>
                <c:pt idx="14">
                  <c:v>-1.7415999999999987</c:v>
                </c:pt>
                <c:pt idx="15">
                  <c:v>-1.6415999999999986</c:v>
                </c:pt>
                <c:pt idx="16">
                  <c:v>-1.5415999999999985</c:v>
                </c:pt>
                <c:pt idx="17">
                  <c:v>-1.4415999999999984</c:v>
                </c:pt>
                <c:pt idx="18">
                  <c:v>-1.3415999999999983</c:v>
                </c:pt>
                <c:pt idx="19">
                  <c:v>-1.2415999999999983</c:v>
                </c:pt>
                <c:pt idx="20">
                  <c:v>-1.1415999999999982</c:v>
                </c:pt>
                <c:pt idx="21">
                  <c:v>-1.0415999999999981</c:v>
                </c:pt>
                <c:pt idx="22">
                  <c:v>-0.94159999999999811</c:v>
                </c:pt>
                <c:pt idx="23">
                  <c:v>-0.84159999999999813</c:v>
                </c:pt>
                <c:pt idx="24">
                  <c:v>-0.74159999999999815</c:v>
                </c:pt>
                <c:pt idx="25">
                  <c:v>-0.64159999999999817</c:v>
                </c:pt>
                <c:pt idx="26">
                  <c:v>-0.54159999999999819</c:v>
                </c:pt>
                <c:pt idx="27">
                  <c:v>-0.44159999999999822</c:v>
                </c:pt>
                <c:pt idx="28">
                  <c:v>-0.34159999999999824</c:v>
                </c:pt>
                <c:pt idx="29">
                  <c:v>-0.24159999999999823</c:v>
                </c:pt>
                <c:pt idx="30">
                  <c:v>-0.14159999999999823</c:v>
                </c:pt>
                <c:pt idx="31">
                  <c:v>-4.1599999999998222E-2</c:v>
                </c:pt>
                <c:pt idx="32">
                  <c:v>5.8400000000001784E-2</c:v>
                </c:pt>
                <c:pt idx="33">
                  <c:v>0.15840000000000179</c:v>
                </c:pt>
                <c:pt idx="34">
                  <c:v>0.25840000000000179</c:v>
                </c:pt>
                <c:pt idx="35">
                  <c:v>0.35840000000000183</c:v>
                </c:pt>
                <c:pt idx="36">
                  <c:v>0.45840000000000181</c:v>
                </c:pt>
                <c:pt idx="37">
                  <c:v>0.55840000000000178</c:v>
                </c:pt>
                <c:pt idx="38">
                  <c:v>0.65840000000000176</c:v>
                </c:pt>
                <c:pt idx="39">
                  <c:v>0.75840000000000174</c:v>
                </c:pt>
                <c:pt idx="40">
                  <c:v>0.85840000000000172</c:v>
                </c:pt>
                <c:pt idx="41">
                  <c:v>0.95840000000000169</c:v>
                </c:pt>
                <c:pt idx="42">
                  <c:v>1.0584000000000018</c:v>
                </c:pt>
                <c:pt idx="43">
                  <c:v>1.1584000000000019</c:v>
                </c:pt>
                <c:pt idx="44">
                  <c:v>1.258400000000002</c:v>
                </c:pt>
                <c:pt idx="45">
                  <c:v>1.3584000000000021</c:v>
                </c:pt>
                <c:pt idx="46">
                  <c:v>1.4584000000000021</c:v>
                </c:pt>
                <c:pt idx="47">
                  <c:v>1.5584000000000022</c:v>
                </c:pt>
                <c:pt idx="48">
                  <c:v>1.6584000000000023</c:v>
                </c:pt>
                <c:pt idx="49">
                  <c:v>1.7584000000000024</c:v>
                </c:pt>
                <c:pt idx="50">
                  <c:v>1.8584000000000025</c:v>
                </c:pt>
                <c:pt idx="51">
                  <c:v>1.9584000000000026</c:v>
                </c:pt>
                <c:pt idx="52">
                  <c:v>2.0584000000000024</c:v>
                </c:pt>
                <c:pt idx="53">
                  <c:v>2.1584000000000025</c:v>
                </c:pt>
                <c:pt idx="54">
                  <c:v>2.2584000000000026</c:v>
                </c:pt>
                <c:pt idx="55">
                  <c:v>2.3584000000000027</c:v>
                </c:pt>
                <c:pt idx="56">
                  <c:v>2.4584000000000028</c:v>
                </c:pt>
                <c:pt idx="57">
                  <c:v>2.5584000000000029</c:v>
                </c:pt>
                <c:pt idx="58">
                  <c:v>2.658400000000003</c:v>
                </c:pt>
                <c:pt idx="59">
                  <c:v>2.7584000000000031</c:v>
                </c:pt>
                <c:pt idx="60">
                  <c:v>2.8584000000000032</c:v>
                </c:pt>
                <c:pt idx="61">
                  <c:v>2.9584000000000032</c:v>
                </c:pt>
                <c:pt idx="62">
                  <c:v>3.0584000000000033</c:v>
                </c:pt>
                <c:pt idx="63">
                  <c:v>3.1584000000000034</c:v>
                </c:pt>
              </c:numCache>
            </c:numRef>
          </c:xVal>
          <c:yVal>
            <c:numRef>
              <c:f>Hoja1!$B$3:$B$66</c:f>
              <c:numCache>
                <c:formatCode>General</c:formatCode>
                <c:ptCount val="64"/>
                <c:pt idx="0">
                  <c:v>-21.352500544127079</c:v>
                </c:pt>
                <c:pt idx="1">
                  <c:v>-18.396779282597475</c:v>
                </c:pt>
                <c:pt idx="2">
                  <c:v>-15.718647937867871</c:v>
                </c:pt>
                <c:pt idx="3">
                  <c:v>-13.300156909938273</c:v>
                </c:pt>
                <c:pt idx="4">
                  <c:v>-11.12395659880867</c:v>
                </c:pt>
                <c:pt idx="5">
                  <c:v>-9.1732974044790687</c:v>
                </c:pt>
                <c:pt idx="6">
                  <c:v>-7.4320297269494695</c:v>
                </c:pt>
                <c:pt idx="7">
                  <c:v>-5.884603966219867</c:v>
                </c:pt>
                <c:pt idx="8">
                  <c:v>-4.5160705222902688</c:v>
                </c:pt>
                <c:pt idx="9">
                  <c:v>-3.3120797951606678</c:v>
                </c:pt>
                <c:pt idx="10">
                  <c:v>-2.2588821848310685</c:v>
                </c:pt>
                <c:pt idx="11">
                  <c:v>-1.3433280913014691</c:v>
                </c:pt>
                <c:pt idx="12">
                  <c:v>-0.55286791457187068</c:v>
                </c:pt>
                <c:pt idx="13">
                  <c:v>0.12444794535772941</c:v>
                </c:pt>
                <c:pt idx="14">
                  <c:v>0.69996908848732842</c:v>
                </c:pt>
                <c:pt idx="15">
                  <c:v>1.1844451148169277</c:v>
                </c:pt>
                <c:pt idx="16">
                  <c:v>1.5880256243465269</c:v>
                </c:pt>
                <c:pt idx="17">
                  <c:v>1.9202602170761263</c:v>
                </c:pt>
                <c:pt idx="18">
                  <c:v>2.1900984930057259</c:v>
                </c:pt>
                <c:pt idx="19">
                  <c:v>2.4058900521353248</c:v>
                </c:pt>
                <c:pt idx="20">
                  <c:v>2.5753844944649242</c:v>
                </c:pt>
                <c:pt idx="21">
                  <c:v>2.7057314199945237</c:v>
                </c:pt>
                <c:pt idx="22">
                  <c:v>2.8034804287241233</c:v>
                </c:pt>
                <c:pt idx="23">
                  <c:v>2.8745811206537226</c:v>
                </c:pt>
                <c:pt idx="24">
                  <c:v>2.9243830957833223</c:v>
                </c:pt>
                <c:pt idx="25">
                  <c:v>2.9576359541129222</c:v>
                </c:pt>
                <c:pt idx="26">
                  <c:v>2.9784892956425217</c:v>
                </c:pt>
                <c:pt idx="27">
                  <c:v>2.9904927203721217</c:v>
                </c:pt>
                <c:pt idx="28">
                  <c:v>2.9965958283017216</c:v>
                </c:pt>
                <c:pt idx="29">
                  <c:v>2.9991482194313215</c:v>
                </c:pt>
                <c:pt idx="30">
                  <c:v>2.9998994937609216</c:v>
                </c:pt>
                <c:pt idx="31">
                  <c:v>2.9999992512905216</c:v>
                </c:pt>
                <c:pt idx="32">
                  <c:v>2.9999970920201218</c:v>
                </c:pt>
                <c:pt idx="33">
                  <c:v>2.9998426159497216</c:v>
                </c:pt>
                <c:pt idx="34">
                  <c:v>2.9988854230793214</c:v>
                </c:pt>
                <c:pt idx="35">
                  <c:v>2.9958751134089217</c:v>
                </c:pt>
                <c:pt idx="36">
                  <c:v>2.9889612869385216</c:v>
                </c:pt>
                <c:pt idx="37">
                  <c:v>2.9756935436681213</c:v>
                </c:pt>
                <c:pt idx="38">
                  <c:v>2.9530214835977211</c:v>
                </c:pt>
                <c:pt idx="39">
                  <c:v>2.9172947067273207</c:v>
                </c:pt>
                <c:pt idx="40">
                  <c:v>2.8642628130569205</c:v>
                </c:pt>
                <c:pt idx="41">
                  <c:v>2.7890754025865201</c:v>
                </c:pt>
                <c:pt idx="42">
                  <c:v>2.6862820753161194</c:v>
                </c:pt>
                <c:pt idx="43">
                  <c:v>2.5498324312457186</c:v>
                </c:pt>
                <c:pt idx="44">
                  <c:v>2.3730760703753178</c:v>
                </c:pt>
                <c:pt idx="45">
                  <c:v>2.1487625927049168</c:v>
                </c:pt>
                <c:pt idx="46">
                  <c:v>1.869041598234515</c:v>
                </c:pt>
                <c:pt idx="47">
                  <c:v>1.5254626869641135</c:v>
                </c:pt>
                <c:pt idx="48">
                  <c:v>1.1089754588937109</c:v>
                </c:pt>
                <c:pt idx="49">
                  <c:v>0.60992951402330853</c:v>
                </c:pt>
                <c:pt idx="50">
                  <c:v>1.8074452352905723E-2</c:v>
                </c:pt>
                <c:pt idx="51">
                  <c:v>-0.67744012611749804</c:v>
                </c:pt>
                <c:pt idx="52">
                  <c:v>-1.4880646213879007</c:v>
                </c:pt>
                <c:pt idx="53">
                  <c:v>-2.4258494334583034</c:v>
                </c:pt>
                <c:pt idx="54">
                  <c:v>-3.5034449623287083</c:v>
                </c:pt>
                <c:pt idx="55">
                  <c:v>-4.7341016079991141</c:v>
                </c:pt>
                <c:pt idx="56">
                  <c:v>-6.1316697704695198</c:v>
                </c:pt>
                <c:pt idx="57">
                  <c:v>-7.7105998497399266</c:v>
                </c:pt>
                <c:pt idx="58">
                  <c:v>-9.4859422458103335</c:v>
                </c:pt>
                <c:pt idx="59">
                  <c:v>-11.473347358680742</c:v>
                </c:pt>
                <c:pt idx="60">
                  <c:v>-13.689065588351156</c:v>
                </c:pt>
                <c:pt idx="61">
                  <c:v>-16.149947334821562</c:v>
                </c:pt>
                <c:pt idx="62">
                  <c:v>-18.873442998091974</c:v>
                </c:pt>
                <c:pt idx="63">
                  <c:v>-21.87760297816239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32-49FD-A516-C932CA69E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17136"/>
        <c:axId val="948093360"/>
      </c:scatterChart>
      <c:valAx>
        <c:axId val="14070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8093360"/>
        <c:crosses val="autoZero"/>
        <c:crossBetween val="midCat"/>
      </c:valAx>
      <c:valAx>
        <c:axId val="9480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7017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Serie de Fourier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Hoja1!$C$2</c:f>
              <c:strCache>
                <c:ptCount val="1"/>
                <c:pt idx="0">
                  <c:v>F(x)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Hoja1!$A$3:$A$66</c:f>
              <c:numCache>
                <c:formatCode>#,##0.0000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-2.9415999999999998</c:v>
                </c:pt>
                <c:pt idx="3">
                  <c:v>-2.8415999999999997</c:v>
                </c:pt>
                <c:pt idx="4">
                  <c:v>-2.7415999999999996</c:v>
                </c:pt>
                <c:pt idx="5">
                  <c:v>-2.6415999999999995</c:v>
                </c:pt>
                <c:pt idx="6">
                  <c:v>-2.5415999999999994</c:v>
                </c:pt>
                <c:pt idx="7">
                  <c:v>-2.4415999999999993</c:v>
                </c:pt>
                <c:pt idx="8">
                  <c:v>-2.3415999999999992</c:v>
                </c:pt>
                <c:pt idx="9">
                  <c:v>-2.2415999999999991</c:v>
                </c:pt>
                <c:pt idx="10">
                  <c:v>-2.1415999999999991</c:v>
                </c:pt>
                <c:pt idx="11">
                  <c:v>-2.041599999999999</c:v>
                </c:pt>
                <c:pt idx="12">
                  <c:v>-1.9415999999999989</c:v>
                </c:pt>
                <c:pt idx="13">
                  <c:v>-1.8415999999999988</c:v>
                </c:pt>
                <c:pt idx="14">
                  <c:v>-1.7415999999999987</c:v>
                </c:pt>
                <c:pt idx="15">
                  <c:v>-1.6415999999999986</c:v>
                </c:pt>
                <c:pt idx="16">
                  <c:v>-1.5415999999999985</c:v>
                </c:pt>
                <c:pt idx="17">
                  <c:v>-1.4415999999999984</c:v>
                </c:pt>
                <c:pt idx="18">
                  <c:v>-1.3415999999999983</c:v>
                </c:pt>
                <c:pt idx="19">
                  <c:v>-1.2415999999999983</c:v>
                </c:pt>
                <c:pt idx="20">
                  <c:v>-1.1415999999999982</c:v>
                </c:pt>
                <c:pt idx="21">
                  <c:v>-1.0415999999999981</c:v>
                </c:pt>
                <c:pt idx="22">
                  <c:v>-0.94159999999999811</c:v>
                </c:pt>
                <c:pt idx="23">
                  <c:v>-0.84159999999999813</c:v>
                </c:pt>
                <c:pt idx="24">
                  <c:v>-0.74159999999999815</c:v>
                </c:pt>
                <c:pt idx="25">
                  <c:v>-0.64159999999999817</c:v>
                </c:pt>
                <c:pt idx="26">
                  <c:v>-0.54159999999999819</c:v>
                </c:pt>
                <c:pt idx="27">
                  <c:v>-0.44159999999999822</c:v>
                </c:pt>
                <c:pt idx="28">
                  <c:v>-0.34159999999999824</c:v>
                </c:pt>
                <c:pt idx="29">
                  <c:v>-0.24159999999999823</c:v>
                </c:pt>
                <c:pt idx="30">
                  <c:v>-0.14159999999999823</c:v>
                </c:pt>
                <c:pt idx="31">
                  <c:v>-4.1599999999998222E-2</c:v>
                </c:pt>
                <c:pt idx="32">
                  <c:v>5.8400000000001784E-2</c:v>
                </c:pt>
                <c:pt idx="33">
                  <c:v>0.15840000000000179</c:v>
                </c:pt>
                <c:pt idx="34">
                  <c:v>0.25840000000000179</c:v>
                </c:pt>
                <c:pt idx="35">
                  <c:v>0.35840000000000183</c:v>
                </c:pt>
                <c:pt idx="36">
                  <c:v>0.45840000000000181</c:v>
                </c:pt>
                <c:pt idx="37">
                  <c:v>0.55840000000000178</c:v>
                </c:pt>
                <c:pt idx="38">
                  <c:v>0.65840000000000176</c:v>
                </c:pt>
                <c:pt idx="39">
                  <c:v>0.75840000000000174</c:v>
                </c:pt>
                <c:pt idx="40">
                  <c:v>0.85840000000000172</c:v>
                </c:pt>
                <c:pt idx="41">
                  <c:v>0.95840000000000169</c:v>
                </c:pt>
                <c:pt idx="42">
                  <c:v>1.0584000000000018</c:v>
                </c:pt>
                <c:pt idx="43">
                  <c:v>1.1584000000000019</c:v>
                </c:pt>
                <c:pt idx="44">
                  <c:v>1.258400000000002</c:v>
                </c:pt>
                <c:pt idx="45">
                  <c:v>1.3584000000000021</c:v>
                </c:pt>
                <c:pt idx="46">
                  <c:v>1.4584000000000021</c:v>
                </c:pt>
                <c:pt idx="47">
                  <c:v>1.5584000000000022</c:v>
                </c:pt>
                <c:pt idx="48">
                  <c:v>1.6584000000000023</c:v>
                </c:pt>
                <c:pt idx="49">
                  <c:v>1.7584000000000024</c:v>
                </c:pt>
                <c:pt idx="50">
                  <c:v>1.8584000000000025</c:v>
                </c:pt>
                <c:pt idx="51">
                  <c:v>1.9584000000000026</c:v>
                </c:pt>
                <c:pt idx="52">
                  <c:v>2.0584000000000024</c:v>
                </c:pt>
                <c:pt idx="53">
                  <c:v>2.1584000000000025</c:v>
                </c:pt>
                <c:pt idx="54">
                  <c:v>2.2584000000000026</c:v>
                </c:pt>
                <c:pt idx="55">
                  <c:v>2.3584000000000027</c:v>
                </c:pt>
                <c:pt idx="56">
                  <c:v>2.4584000000000028</c:v>
                </c:pt>
                <c:pt idx="57">
                  <c:v>2.5584000000000029</c:v>
                </c:pt>
                <c:pt idx="58">
                  <c:v>2.658400000000003</c:v>
                </c:pt>
                <c:pt idx="59">
                  <c:v>2.7584000000000031</c:v>
                </c:pt>
                <c:pt idx="60">
                  <c:v>2.8584000000000032</c:v>
                </c:pt>
                <c:pt idx="61">
                  <c:v>2.9584000000000032</c:v>
                </c:pt>
                <c:pt idx="62">
                  <c:v>3.0584000000000033</c:v>
                </c:pt>
                <c:pt idx="63">
                  <c:v>3.1584000000000034</c:v>
                </c:pt>
              </c:numCache>
            </c:numRef>
          </c:xVal>
          <c:yVal>
            <c:numRef>
              <c:f>Hoja1!$C$3:$C$66</c:f>
              <c:numCache>
                <c:formatCode>General</c:formatCode>
                <c:ptCount val="64"/>
                <c:pt idx="0">
                  <c:v>-19.477204385325404</c:v>
                </c:pt>
                <c:pt idx="1">
                  <c:v>-18.613838898838868</c:v>
                </c:pt>
                <c:pt idx="2">
                  <c:v>-16.358476397426884</c:v>
                </c:pt>
                <c:pt idx="3">
                  <c:v>-13.512394989711368</c:v>
                </c:pt>
                <c:pt idx="4">
                  <c:v>-10.877847249835828</c:v>
                </c:pt>
                <c:pt idx="5">
                  <c:v>-8.8557909994205382</c:v>
                </c:pt>
                <c:pt idx="6">
                  <c:v>-7.3620979341599364</c:v>
                </c:pt>
                <c:pt idx="7">
                  <c:v>-6.0655715473551357</c:v>
                </c:pt>
                <c:pt idx="8">
                  <c:v>-4.721657143099506</c:v>
                </c:pt>
                <c:pt idx="9">
                  <c:v>-3.3430312227499996</c:v>
                </c:pt>
                <c:pt idx="10">
                  <c:v>-2.1167644131863215</c:v>
                </c:pt>
                <c:pt idx="11">
                  <c:v>-1.1911819572817168</c:v>
                </c:pt>
                <c:pt idx="12">
                  <c:v>-0.53766026328308802</c:v>
                </c:pt>
                <c:pt idx="13">
                  <c:v>6.0816046242915256E-3</c:v>
                </c:pt>
                <c:pt idx="14">
                  <c:v>0.57800691195983633</c:v>
                </c:pt>
                <c:pt idx="15">
                  <c:v>1.1771786565136746</c:v>
                </c:pt>
                <c:pt idx="16">
                  <c:v>1.6911325704424929</c:v>
                </c:pt>
                <c:pt idx="17">
                  <c:v>2.0234588796337811</c:v>
                </c:pt>
                <c:pt idx="18">
                  <c:v>2.1926808755006899</c:v>
                </c:pt>
                <c:pt idx="19">
                  <c:v>2.3128464949212741</c:v>
                </c:pt>
                <c:pt idx="20">
                  <c:v>2.4844919411938049</c:v>
                </c:pt>
                <c:pt idx="21">
                  <c:v>2.7062923297402017</c:v>
                </c:pt>
                <c:pt idx="22">
                  <c:v>2.8899314759365655</c:v>
                </c:pt>
                <c:pt idx="23">
                  <c:v>2.9572283317075758</c:v>
                </c:pt>
                <c:pt idx="24">
                  <c:v>2.921446581053357</c:v>
                </c:pt>
                <c:pt idx="25">
                  <c:v>2.8752478327436819</c:v>
                </c:pt>
                <c:pt idx="26">
                  <c:v>2.9012919831375328</c:v>
                </c:pt>
                <c:pt idx="27">
                  <c:v>2.9954428767316088</c:v>
                </c:pt>
                <c:pt idx="28">
                  <c:v>3.0769405266465597</c:v>
                </c:pt>
                <c:pt idx="29">
                  <c:v>3.072993953788461</c:v>
                </c:pt>
                <c:pt idx="30">
                  <c:v>2.9930459473415549</c:v>
                </c:pt>
                <c:pt idx="31">
                  <c:v>2.919919082993685</c:v>
                </c:pt>
                <c:pt idx="32">
                  <c:v>2.9277790345573393</c:v>
                </c:pt>
                <c:pt idx="33">
                  <c:v>3.0086821146634106</c:v>
                </c:pt>
                <c:pt idx="34">
                  <c:v>3.0804404448066967</c:v>
                </c:pt>
                <c:pt idx="35">
                  <c:v>3.0680268481427531</c:v>
                </c:pt>
                <c:pt idx="36">
                  <c:v>2.9778641548252045</c:v>
                </c:pt>
                <c:pt idx="37">
                  <c:v>2.8907740700313873</c:v>
                </c:pt>
                <c:pt idx="38">
                  <c:v>2.8793683234627814</c:v>
                </c:pt>
                <c:pt idx="39">
                  <c:v>2.9311552513704964</c:v>
                </c:pt>
                <c:pt idx="40">
                  <c:v>2.954816318305693</c:v>
                </c:pt>
                <c:pt idx="41">
                  <c:v>2.8659753370170833</c:v>
                </c:pt>
                <c:pt idx="42">
                  <c:v>2.6688057031330761</c:v>
                </c:pt>
                <c:pt idx="43">
                  <c:v>2.4506528662517519</c:v>
                </c:pt>
                <c:pt idx="44">
                  <c:v>2.2907873546628688</c:v>
                </c:pt>
                <c:pt idx="45">
                  <c:v>2.171293622417787</c:v>
                </c:pt>
                <c:pt idx="46">
                  <c:v>1.9811571834306774</c:v>
                </c:pt>
                <c:pt idx="47">
                  <c:v>1.616013457211861</c:v>
                </c:pt>
                <c:pt idx="48">
                  <c:v>1.078836720291414</c:v>
                </c:pt>
                <c:pt idx="49">
                  <c:v>0.47807460412555924</c:v>
                </c:pt>
                <c:pt idx="50">
                  <c:v>-8.4916278845593052E-2</c:v>
                </c:pt>
                <c:pt idx="51">
                  <c:v>-0.63473714772692857</c:v>
                </c:pt>
                <c:pt idx="52">
                  <c:v>-1.324529651266207</c:v>
                </c:pt>
                <c:pt idx="53">
                  <c:v>-2.3039030650404984</c:v>
                </c:pt>
                <c:pt idx="54">
                  <c:v>-3.5697831837691969</c:v>
                </c:pt>
                <c:pt idx="55">
                  <c:v>-4.9533964349727722</c:v>
                </c:pt>
                <c:pt idx="56">
                  <c:v>-6.2830037684833524</c:v>
                </c:pt>
                <c:pt idx="57">
                  <c:v>-7.5896952894643901</c:v>
                </c:pt>
                <c:pt idx="58">
                  <c:v>-9.1513299549339919</c:v>
                </c:pt>
                <c:pt idx="59">
                  <c:v>-11.281984653529374</c:v>
                </c:pt>
                <c:pt idx="60">
                  <c:v>-13.99412336466073</c:v>
                </c:pt>
                <c:pt idx="61">
                  <c:v>-16.803233889201532</c:v>
                </c:pt>
                <c:pt idx="62">
                  <c:v>-18.873185397903306</c:v>
                </c:pt>
                <c:pt idx="63">
                  <c:v>-19.451975639511609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5-492F-9767-507C6A65C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017600"/>
        <c:axId val="948174960"/>
      </c:scatterChart>
      <c:valAx>
        <c:axId val="140701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8174960"/>
        <c:crosses val="autoZero"/>
        <c:crossBetween val="midCat"/>
      </c:valAx>
      <c:valAx>
        <c:axId val="94817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07017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Comparativa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Hoja1!$B$2</c:f>
              <c:strCache>
                <c:ptCount val="1"/>
                <c:pt idx="0">
                  <c:v>f(x)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Hoja1!$A$3:$A$66</c:f>
              <c:numCache>
                <c:formatCode>#,##0.0000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-2.9415999999999998</c:v>
                </c:pt>
                <c:pt idx="3">
                  <c:v>-2.8415999999999997</c:v>
                </c:pt>
                <c:pt idx="4">
                  <c:v>-2.7415999999999996</c:v>
                </c:pt>
                <c:pt idx="5">
                  <c:v>-2.6415999999999995</c:v>
                </c:pt>
                <c:pt idx="6">
                  <c:v>-2.5415999999999994</c:v>
                </c:pt>
                <c:pt idx="7">
                  <c:v>-2.4415999999999993</c:v>
                </c:pt>
                <c:pt idx="8">
                  <c:v>-2.3415999999999992</c:v>
                </c:pt>
                <c:pt idx="9">
                  <c:v>-2.2415999999999991</c:v>
                </c:pt>
                <c:pt idx="10">
                  <c:v>-2.1415999999999991</c:v>
                </c:pt>
                <c:pt idx="11">
                  <c:v>-2.041599999999999</c:v>
                </c:pt>
                <c:pt idx="12">
                  <c:v>-1.9415999999999989</c:v>
                </c:pt>
                <c:pt idx="13">
                  <c:v>-1.8415999999999988</c:v>
                </c:pt>
                <c:pt idx="14">
                  <c:v>-1.7415999999999987</c:v>
                </c:pt>
                <c:pt idx="15">
                  <c:v>-1.6415999999999986</c:v>
                </c:pt>
                <c:pt idx="16">
                  <c:v>-1.5415999999999985</c:v>
                </c:pt>
                <c:pt idx="17">
                  <c:v>-1.4415999999999984</c:v>
                </c:pt>
                <c:pt idx="18">
                  <c:v>-1.3415999999999983</c:v>
                </c:pt>
                <c:pt idx="19">
                  <c:v>-1.2415999999999983</c:v>
                </c:pt>
                <c:pt idx="20">
                  <c:v>-1.1415999999999982</c:v>
                </c:pt>
                <c:pt idx="21">
                  <c:v>-1.0415999999999981</c:v>
                </c:pt>
                <c:pt idx="22">
                  <c:v>-0.94159999999999811</c:v>
                </c:pt>
                <c:pt idx="23">
                  <c:v>-0.84159999999999813</c:v>
                </c:pt>
                <c:pt idx="24">
                  <c:v>-0.74159999999999815</c:v>
                </c:pt>
                <c:pt idx="25">
                  <c:v>-0.64159999999999817</c:v>
                </c:pt>
                <c:pt idx="26">
                  <c:v>-0.54159999999999819</c:v>
                </c:pt>
                <c:pt idx="27">
                  <c:v>-0.44159999999999822</c:v>
                </c:pt>
                <c:pt idx="28">
                  <c:v>-0.34159999999999824</c:v>
                </c:pt>
                <c:pt idx="29">
                  <c:v>-0.24159999999999823</c:v>
                </c:pt>
                <c:pt idx="30">
                  <c:v>-0.14159999999999823</c:v>
                </c:pt>
                <c:pt idx="31">
                  <c:v>-4.1599999999998222E-2</c:v>
                </c:pt>
                <c:pt idx="32">
                  <c:v>5.8400000000001784E-2</c:v>
                </c:pt>
                <c:pt idx="33">
                  <c:v>0.15840000000000179</c:v>
                </c:pt>
                <c:pt idx="34">
                  <c:v>0.25840000000000179</c:v>
                </c:pt>
                <c:pt idx="35">
                  <c:v>0.35840000000000183</c:v>
                </c:pt>
                <c:pt idx="36">
                  <c:v>0.45840000000000181</c:v>
                </c:pt>
                <c:pt idx="37">
                  <c:v>0.55840000000000178</c:v>
                </c:pt>
                <c:pt idx="38">
                  <c:v>0.65840000000000176</c:v>
                </c:pt>
                <c:pt idx="39">
                  <c:v>0.75840000000000174</c:v>
                </c:pt>
                <c:pt idx="40">
                  <c:v>0.85840000000000172</c:v>
                </c:pt>
                <c:pt idx="41">
                  <c:v>0.95840000000000169</c:v>
                </c:pt>
                <c:pt idx="42">
                  <c:v>1.0584000000000018</c:v>
                </c:pt>
                <c:pt idx="43">
                  <c:v>1.1584000000000019</c:v>
                </c:pt>
                <c:pt idx="44">
                  <c:v>1.258400000000002</c:v>
                </c:pt>
                <c:pt idx="45">
                  <c:v>1.3584000000000021</c:v>
                </c:pt>
                <c:pt idx="46">
                  <c:v>1.4584000000000021</c:v>
                </c:pt>
                <c:pt idx="47">
                  <c:v>1.5584000000000022</c:v>
                </c:pt>
                <c:pt idx="48">
                  <c:v>1.6584000000000023</c:v>
                </c:pt>
                <c:pt idx="49">
                  <c:v>1.7584000000000024</c:v>
                </c:pt>
                <c:pt idx="50">
                  <c:v>1.8584000000000025</c:v>
                </c:pt>
                <c:pt idx="51">
                  <c:v>1.9584000000000026</c:v>
                </c:pt>
                <c:pt idx="52">
                  <c:v>2.0584000000000024</c:v>
                </c:pt>
                <c:pt idx="53">
                  <c:v>2.1584000000000025</c:v>
                </c:pt>
                <c:pt idx="54">
                  <c:v>2.2584000000000026</c:v>
                </c:pt>
                <c:pt idx="55">
                  <c:v>2.3584000000000027</c:v>
                </c:pt>
                <c:pt idx="56">
                  <c:v>2.4584000000000028</c:v>
                </c:pt>
                <c:pt idx="57">
                  <c:v>2.5584000000000029</c:v>
                </c:pt>
                <c:pt idx="58">
                  <c:v>2.658400000000003</c:v>
                </c:pt>
                <c:pt idx="59">
                  <c:v>2.7584000000000031</c:v>
                </c:pt>
                <c:pt idx="60">
                  <c:v>2.8584000000000032</c:v>
                </c:pt>
                <c:pt idx="61">
                  <c:v>2.9584000000000032</c:v>
                </c:pt>
                <c:pt idx="62">
                  <c:v>3.0584000000000033</c:v>
                </c:pt>
                <c:pt idx="63">
                  <c:v>3.1584000000000034</c:v>
                </c:pt>
              </c:numCache>
            </c:numRef>
          </c:xVal>
          <c:yVal>
            <c:numRef>
              <c:f>Hoja1!$B$3:$B$66</c:f>
              <c:numCache>
                <c:formatCode>General</c:formatCode>
                <c:ptCount val="64"/>
                <c:pt idx="0">
                  <c:v>-21.352500544127079</c:v>
                </c:pt>
                <c:pt idx="1">
                  <c:v>-18.396779282597475</c:v>
                </c:pt>
                <c:pt idx="2">
                  <c:v>-15.718647937867871</c:v>
                </c:pt>
                <c:pt idx="3">
                  <c:v>-13.300156909938273</c:v>
                </c:pt>
                <c:pt idx="4">
                  <c:v>-11.12395659880867</c:v>
                </c:pt>
                <c:pt idx="5">
                  <c:v>-9.1732974044790687</c:v>
                </c:pt>
                <c:pt idx="6">
                  <c:v>-7.4320297269494695</c:v>
                </c:pt>
                <c:pt idx="7">
                  <c:v>-5.884603966219867</c:v>
                </c:pt>
                <c:pt idx="8">
                  <c:v>-4.5160705222902688</c:v>
                </c:pt>
                <c:pt idx="9">
                  <c:v>-3.3120797951606678</c:v>
                </c:pt>
                <c:pt idx="10">
                  <c:v>-2.2588821848310685</c:v>
                </c:pt>
                <c:pt idx="11">
                  <c:v>-1.3433280913014691</c:v>
                </c:pt>
                <c:pt idx="12">
                  <c:v>-0.55286791457187068</c:v>
                </c:pt>
                <c:pt idx="13">
                  <c:v>0.12444794535772941</c:v>
                </c:pt>
                <c:pt idx="14">
                  <c:v>0.69996908848732842</c:v>
                </c:pt>
                <c:pt idx="15">
                  <c:v>1.1844451148169277</c:v>
                </c:pt>
                <c:pt idx="16">
                  <c:v>1.5880256243465269</c:v>
                </c:pt>
                <c:pt idx="17">
                  <c:v>1.9202602170761263</c:v>
                </c:pt>
                <c:pt idx="18">
                  <c:v>2.1900984930057259</c:v>
                </c:pt>
                <c:pt idx="19">
                  <c:v>2.4058900521353248</c:v>
                </c:pt>
                <c:pt idx="20">
                  <c:v>2.5753844944649242</c:v>
                </c:pt>
                <c:pt idx="21">
                  <c:v>2.7057314199945237</c:v>
                </c:pt>
                <c:pt idx="22">
                  <c:v>2.8034804287241233</c:v>
                </c:pt>
                <c:pt idx="23">
                  <c:v>2.8745811206537226</c:v>
                </c:pt>
                <c:pt idx="24">
                  <c:v>2.9243830957833223</c:v>
                </c:pt>
                <c:pt idx="25">
                  <c:v>2.9576359541129222</c:v>
                </c:pt>
                <c:pt idx="26">
                  <c:v>2.9784892956425217</c:v>
                </c:pt>
                <c:pt idx="27">
                  <c:v>2.9904927203721217</c:v>
                </c:pt>
                <c:pt idx="28">
                  <c:v>2.9965958283017216</c:v>
                </c:pt>
                <c:pt idx="29">
                  <c:v>2.9991482194313215</c:v>
                </c:pt>
                <c:pt idx="30">
                  <c:v>2.9998994937609216</c:v>
                </c:pt>
                <c:pt idx="31">
                  <c:v>2.9999992512905216</c:v>
                </c:pt>
                <c:pt idx="32">
                  <c:v>2.9999970920201218</c:v>
                </c:pt>
                <c:pt idx="33">
                  <c:v>2.9998426159497216</c:v>
                </c:pt>
                <c:pt idx="34">
                  <c:v>2.9988854230793214</c:v>
                </c:pt>
                <c:pt idx="35">
                  <c:v>2.9958751134089217</c:v>
                </c:pt>
                <c:pt idx="36">
                  <c:v>2.9889612869385216</c:v>
                </c:pt>
                <c:pt idx="37">
                  <c:v>2.9756935436681213</c:v>
                </c:pt>
                <c:pt idx="38">
                  <c:v>2.9530214835977211</c:v>
                </c:pt>
                <c:pt idx="39">
                  <c:v>2.9172947067273207</c:v>
                </c:pt>
                <c:pt idx="40">
                  <c:v>2.8642628130569205</c:v>
                </c:pt>
                <c:pt idx="41">
                  <c:v>2.7890754025865201</c:v>
                </c:pt>
                <c:pt idx="42">
                  <c:v>2.6862820753161194</c:v>
                </c:pt>
                <c:pt idx="43">
                  <c:v>2.5498324312457186</c:v>
                </c:pt>
                <c:pt idx="44">
                  <c:v>2.3730760703753178</c:v>
                </c:pt>
                <c:pt idx="45">
                  <c:v>2.1487625927049168</c:v>
                </c:pt>
                <c:pt idx="46">
                  <c:v>1.869041598234515</c:v>
                </c:pt>
                <c:pt idx="47">
                  <c:v>1.5254626869641135</c:v>
                </c:pt>
                <c:pt idx="48">
                  <c:v>1.1089754588937109</c:v>
                </c:pt>
                <c:pt idx="49">
                  <c:v>0.60992951402330853</c:v>
                </c:pt>
                <c:pt idx="50">
                  <c:v>1.8074452352905723E-2</c:v>
                </c:pt>
                <c:pt idx="51">
                  <c:v>-0.67744012611749804</c:v>
                </c:pt>
                <c:pt idx="52">
                  <c:v>-1.4880646213879007</c:v>
                </c:pt>
                <c:pt idx="53">
                  <c:v>-2.4258494334583034</c:v>
                </c:pt>
                <c:pt idx="54">
                  <c:v>-3.5034449623287083</c:v>
                </c:pt>
                <c:pt idx="55">
                  <c:v>-4.7341016079991141</c:v>
                </c:pt>
                <c:pt idx="56">
                  <c:v>-6.1316697704695198</c:v>
                </c:pt>
                <c:pt idx="57">
                  <c:v>-7.7105998497399266</c:v>
                </c:pt>
                <c:pt idx="58">
                  <c:v>-9.4859422458103335</c:v>
                </c:pt>
                <c:pt idx="59">
                  <c:v>-11.473347358680742</c:v>
                </c:pt>
                <c:pt idx="60">
                  <c:v>-13.689065588351156</c:v>
                </c:pt>
                <c:pt idx="61">
                  <c:v>-16.149947334821562</c:v>
                </c:pt>
                <c:pt idx="62">
                  <c:v>-18.873442998091974</c:v>
                </c:pt>
                <c:pt idx="63">
                  <c:v>-21.87760297816239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1D-47E9-946B-E577099C2647}"/>
            </c:ext>
          </c:extLst>
        </c:ser>
        <c:ser>
          <c:idx val="1"/>
          <c:order val="1"/>
          <c:tx>
            <c:strRef>
              <c:f>Hoja1!$C$2</c:f>
              <c:strCache>
                <c:ptCount val="1"/>
                <c:pt idx="0">
                  <c:v>F(x)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Hoja1!$A$3:$A$66</c:f>
              <c:numCache>
                <c:formatCode>#,##0.0000</c:formatCode>
                <c:ptCount val="64"/>
                <c:pt idx="0">
                  <c:v>-3.1415999999999999</c:v>
                </c:pt>
                <c:pt idx="1">
                  <c:v>-3.0415999999999999</c:v>
                </c:pt>
                <c:pt idx="2">
                  <c:v>-2.9415999999999998</c:v>
                </c:pt>
                <c:pt idx="3">
                  <c:v>-2.8415999999999997</c:v>
                </c:pt>
                <c:pt idx="4">
                  <c:v>-2.7415999999999996</c:v>
                </c:pt>
                <c:pt idx="5">
                  <c:v>-2.6415999999999995</c:v>
                </c:pt>
                <c:pt idx="6">
                  <c:v>-2.5415999999999994</c:v>
                </c:pt>
                <c:pt idx="7">
                  <c:v>-2.4415999999999993</c:v>
                </c:pt>
                <c:pt idx="8">
                  <c:v>-2.3415999999999992</c:v>
                </c:pt>
                <c:pt idx="9">
                  <c:v>-2.2415999999999991</c:v>
                </c:pt>
                <c:pt idx="10">
                  <c:v>-2.1415999999999991</c:v>
                </c:pt>
                <c:pt idx="11">
                  <c:v>-2.041599999999999</c:v>
                </c:pt>
                <c:pt idx="12">
                  <c:v>-1.9415999999999989</c:v>
                </c:pt>
                <c:pt idx="13">
                  <c:v>-1.8415999999999988</c:v>
                </c:pt>
                <c:pt idx="14">
                  <c:v>-1.7415999999999987</c:v>
                </c:pt>
                <c:pt idx="15">
                  <c:v>-1.6415999999999986</c:v>
                </c:pt>
                <c:pt idx="16">
                  <c:v>-1.5415999999999985</c:v>
                </c:pt>
                <c:pt idx="17">
                  <c:v>-1.4415999999999984</c:v>
                </c:pt>
                <c:pt idx="18">
                  <c:v>-1.3415999999999983</c:v>
                </c:pt>
                <c:pt idx="19">
                  <c:v>-1.2415999999999983</c:v>
                </c:pt>
                <c:pt idx="20">
                  <c:v>-1.1415999999999982</c:v>
                </c:pt>
                <c:pt idx="21">
                  <c:v>-1.0415999999999981</c:v>
                </c:pt>
                <c:pt idx="22">
                  <c:v>-0.94159999999999811</c:v>
                </c:pt>
                <c:pt idx="23">
                  <c:v>-0.84159999999999813</c:v>
                </c:pt>
                <c:pt idx="24">
                  <c:v>-0.74159999999999815</c:v>
                </c:pt>
                <c:pt idx="25">
                  <c:v>-0.64159999999999817</c:v>
                </c:pt>
                <c:pt idx="26">
                  <c:v>-0.54159999999999819</c:v>
                </c:pt>
                <c:pt idx="27">
                  <c:v>-0.44159999999999822</c:v>
                </c:pt>
                <c:pt idx="28">
                  <c:v>-0.34159999999999824</c:v>
                </c:pt>
                <c:pt idx="29">
                  <c:v>-0.24159999999999823</c:v>
                </c:pt>
                <c:pt idx="30">
                  <c:v>-0.14159999999999823</c:v>
                </c:pt>
                <c:pt idx="31">
                  <c:v>-4.1599999999998222E-2</c:v>
                </c:pt>
                <c:pt idx="32">
                  <c:v>5.8400000000001784E-2</c:v>
                </c:pt>
                <c:pt idx="33">
                  <c:v>0.15840000000000179</c:v>
                </c:pt>
                <c:pt idx="34">
                  <c:v>0.25840000000000179</c:v>
                </c:pt>
                <c:pt idx="35">
                  <c:v>0.35840000000000183</c:v>
                </c:pt>
                <c:pt idx="36">
                  <c:v>0.45840000000000181</c:v>
                </c:pt>
                <c:pt idx="37">
                  <c:v>0.55840000000000178</c:v>
                </c:pt>
                <c:pt idx="38">
                  <c:v>0.65840000000000176</c:v>
                </c:pt>
                <c:pt idx="39">
                  <c:v>0.75840000000000174</c:v>
                </c:pt>
                <c:pt idx="40">
                  <c:v>0.85840000000000172</c:v>
                </c:pt>
                <c:pt idx="41">
                  <c:v>0.95840000000000169</c:v>
                </c:pt>
                <c:pt idx="42">
                  <c:v>1.0584000000000018</c:v>
                </c:pt>
                <c:pt idx="43">
                  <c:v>1.1584000000000019</c:v>
                </c:pt>
                <c:pt idx="44">
                  <c:v>1.258400000000002</c:v>
                </c:pt>
                <c:pt idx="45">
                  <c:v>1.3584000000000021</c:v>
                </c:pt>
                <c:pt idx="46">
                  <c:v>1.4584000000000021</c:v>
                </c:pt>
                <c:pt idx="47">
                  <c:v>1.5584000000000022</c:v>
                </c:pt>
                <c:pt idx="48">
                  <c:v>1.6584000000000023</c:v>
                </c:pt>
                <c:pt idx="49">
                  <c:v>1.7584000000000024</c:v>
                </c:pt>
                <c:pt idx="50">
                  <c:v>1.8584000000000025</c:v>
                </c:pt>
                <c:pt idx="51">
                  <c:v>1.9584000000000026</c:v>
                </c:pt>
                <c:pt idx="52">
                  <c:v>2.0584000000000024</c:v>
                </c:pt>
                <c:pt idx="53">
                  <c:v>2.1584000000000025</c:v>
                </c:pt>
                <c:pt idx="54">
                  <c:v>2.2584000000000026</c:v>
                </c:pt>
                <c:pt idx="55">
                  <c:v>2.3584000000000027</c:v>
                </c:pt>
                <c:pt idx="56">
                  <c:v>2.4584000000000028</c:v>
                </c:pt>
                <c:pt idx="57">
                  <c:v>2.5584000000000029</c:v>
                </c:pt>
                <c:pt idx="58">
                  <c:v>2.658400000000003</c:v>
                </c:pt>
                <c:pt idx="59">
                  <c:v>2.7584000000000031</c:v>
                </c:pt>
                <c:pt idx="60">
                  <c:v>2.8584000000000032</c:v>
                </c:pt>
                <c:pt idx="61">
                  <c:v>2.9584000000000032</c:v>
                </c:pt>
                <c:pt idx="62">
                  <c:v>3.0584000000000033</c:v>
                </c:pt>
                <c:pt idx="63">
                  <c:v>3.1584000000000034</c:v>
                </c:pt>
              </c:numCache>
            </c:numRef>
          </c:xVal>
          <c:yVal>
            <c:numRef>
              <c:f>Hoja1!$C$3:$C$66</c:f>
              <c:numCache>
                <c:formatCode>General</c:formatCode>
                <c:ptCount val="64"/>
                <c:pt idx="0">
                  <c:v>-19.477204385325404</c:v>
                </c:pt>
                <c:pt idx="1">
                  <c:v>-18.613838898838868</c:v>
                </c:pt>
                <c:pt idx="2">
                  <c:v>-16.358476397426884</c:v>
                </c:pt>
                <c:pt idx="3">
                  <c:v>-13.512394989711368</c:v>
                </c:pt>
                <c:pt idx="4">
                  <c:v>-10.877847249835828</c:v>
                </c:pt>
                <c:pt idx="5">
                  <c:v>-8.8557909994205382</c:v>
                </c:pt>
                <c:pt idx="6">
                  <c:v>-7.3620979341599364</c:v>
                </c:pt>
                <c:pt idx="7">
                  <c:v>-6.0655715473551357</c:v>
                </c:pt>
                <c:pt idx="8">
                  <c:v>-4.721657143099506</c:v>
                </c:pt>
                <c:pt idx="9">
                  <c:v>-3.3430312227499996</c:v>
                </c:pt>
                <c:pt idx="10">
                  <c:v>-2.1167644131863215</c:v>
                </c:pt>
                <c:pt idx="11">
                  <c:v>-1.1911819572817168</c:v>
                </c:pt>
                <c:pt idx="12">
                  <c:v>-0.53766026328308802</c:v>
                </c:pt>
                <c:pt idx="13">
                  <c:v>6.0816046242915256E-3</c:v>
                </c:pt>
                <c:pt idx="14">
                  <c:v>0.57800691195983633</c:v>
                </c:pt>
                <c:pt idx="15">
                  <c:v>1.1771786565136746</c:v>
                </c:pt>
                <c:pt idx="16">
                  <c:v>1.6911325704424929</c:v>
                </c:pt>
                <c:pt idx="17">
                  <c:v>2.0234588796337811</c:v>
                </c:pt>
                <c:pt idx="18">
                  <c:v>2.1926808755006899</c:v>
                </c:pt>
                <c:pt idx="19">
                  <c:v>2.3128464949212741</c:v>
                </c:pt>
                <c:pt idx="20">
                  <c:v>2.4844919411938049</c:v>
                </c:pt>
                <c:pt idx="21">
                  <c:v>2.7062923297402017</c:v>
                </c:pt>
                <c:pt idx="22">
                  <c:v>2.8899314759365655</c:v>
                </c:pt>
                <c:pt idx="23">
                  <c:v>2.9572283317075758</c:v>
                </c:pt>
                <c:pt idx="24">
                  <c:v>2.921446581053357</c:v>
                </c:pt>
                <c:pt idx="25">
                  <c:v>2.8752478327436819</c:v>
                </c:pt>
                <c:pt idx="26">
                  <c:v>2.9012919831375328</c:v>
                </c:pt>
                <c:pt idx="27">
                  <c:v>2.9954428767316088</c:v>
                </c:pt>
                <c:pt idx="28">
                  <c:v>3.0769405266465597</c:v>
                </c:pt>
                <c:pt idx="29">
                  <c:v>3.072993953788461</c:v>
                </c:pt>
                <c:pt idx="30">
                  <c:v>2.9930459473415549</c:v>
                </c:pt>
                <c:pt idx="31">
                  <c:v>2.919919082993685</c:v>
                </c:pt>
                <c:pt idx="32">
                  <c:v>2.9277790345573393</c:v>
                </c:pt>
                <c:pt idx="33">
                  <c:v>3.0086821146634106</c:v>
                </c:pt>
                <c:pt idx="34">
                  <c:v>3.0804404448066967</c:v>
                </c:pt>
                <c:pt idx="35">
                  <c:v>3.0680268481427531</c:v>
                </c:pt>
                <c:pt idx="36">
                  <c:v>2.9778641548252045</c:v>
                </c:pt>
                <c:pt idx="37">
                  <c:v>2.8907740700313873</c:v>
                </c:pt>
                <c:pt idx="38">
                  <c:v>2.8793683234627814</c:v>
                </c:pt>
                <c:pt idx="39">
                  <c:v>2.9311552513704964</c:v>
                </c:pt>
                <c:pt idx="40">
                  <c:v>2.954816318305693</c:v>
                </c:pt>
                <c:pt idx="41">
                  <c:v>2.8659753370170833</c:v>
                </c:pt>
                <c:pt idx="42">
                  <c:v>2.6688057031330761</c:v>
                </c:pt>
                <c:pt idx="43">
                  <c:v>2.4506528662517519</c:v>
                </c:pt>
                <c:pt idx="44">
                  <c:v>2.2907873546628688</c:v>
                </c:pt>
                <c:pt idx="45">
                  <c:v>2.171293622417787</c:v>
                </c:pt>
                <c:pt idx="46">
                  <c:v>1.9811571834306774</c:v>
                </c:pt>
                <c:pt idx="47">
                  <c:v>1.616013457211861</c:v>
                </c:pt>
                <c:pt idx="48">
                  <c:v>1.078836720291414</c:v>
                </c:pt>
                <c:pt idx="49">
                  <c:v>0.47807460412555924</c:v>
                </c:pt>
                <c:pt idx="50">
                  <c:v>-8.4916278845593052E-2</c:v>
                </c:pt>
                <c:pt idx="51">
                  <c:v>-0.63473714772692857</c:v>
                </c:pt>
                <c:pt idx="52">
                  <c:v>-1.324529651266207</c:v>
                </c:pt>
                <c:pt idx="53">
                  <c:v>-2.3039030650404984</c:v>
                </c:pt>
                <c:pt idx="54">
                  <c:v>-3.5697831837691969</c:v>
                </c:pt>
                <c:pt idx="55">
                  <c:v>-4.9533964349727722</c:v>
                </c:pt>
                <c:pt idx="56">
                  <c:v>-6.2830037684833524</c:v>
                </c:pt>
                <c:pt idx="57">
                  <c:v>-7.5896952894643901</c:v>
                </c:pt>
                <c:pt idx="58">
                  <c:v>-9.1513299549339919</c:v>
                </c:pt>
                <c:pt idx="59">
                  <c:v>-11.281984653529374</c:v>
                </c:pt>
                <c:pt idx="60">
                  <c:v>-13.99412336466073</c:v>
                </c:pt>
                <c:pt idx="61">
                  <c:v>-16.803233889201532</c:v>
                </c:pt>
                <c:pt idx="62">
                  <c:v>-18.873185397903306</c:v>
                </c:pt>
                <c:pt idx="63">
                  <c:v>-19.451975639511609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1D-47E9-946B-E577099C2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2905440"/>
        <c:axId val="948091440"/>
      </c:scatterChart>
      <c:valAx>
        <c:axId val="95290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#,##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48091440"/>
        <c:crosses val="autoZero"/>
        <c:crossBetween val="midCat"/>
      </c:valAx>
      <c:valAx>
        <c:axId val="94809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5290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67</xdr:row>
      <xdr:rowOff>11430</xdr:rowOff>
    </xdr:from>
    <xdr:to>
      <xdr:col>12</xdr:col>
      <xdr:colOff>784860</xdr:colOff>
      <xdr:row>82</xdr:row>
      <xdr:rowOff>11430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4A83A7B-038A-51EB-6610-17D648C82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786062</xdr:colOff>
      <xdr:row>83</xdr:row>
      <xdr:rowOff>8022</xdr:rowOff>
    </xdr:from>
    <xdr:to>
      <xdr:col>6</xdr:col>
      <xdr:colOff>593557</xdr:colOff>
      <xdr:row>97</xdr:row>
      <xdr:rowOff>168443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257FB31-7E41-877F-1F2A-151A49700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16042</xdr:colOff>
      <xdr:row>67</xdr:row>
      <xdr:rowOff>16043</xdr:rowOff>
    </xdr:from>
    <xdr:to>
      <xdr:col>6</xdr:col>
      <xdr:colOff>617621</xdr:colOff>
      <xdr:row>81</xdr:row>
      <xdr:rowOff>176464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1EECE38-F8D1-F820-307B-A653A6C4D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F8A0-D0D0-4383-B730-8A92C6FCCC0A}">
  <dimension ref="A1:R92"/>
  <sheetViews>
    <sheetView tabSelected="1" topLeftCell="A63" zoomScale="95" workbookViewId="0">
      <selection activeCell="O21" sqref="O21"/>
    </sheetView>
  </sheetViews>
  <sheetFormatPr baseColWidth="10" defaultRowHeight="14.4" x14ac:dyDescent="0.3"/>
  <sheetData>
    <row r="1" spans="1:18" x14ac:dyDescent="0.3"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4</v>
      </c>
    </row>
    <row r="2" spans="1:18" x14ac:dyDescent="0.3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2</v>
      </c>
      <c r="G2" s="2">
        <v>3</v>
      </c>
      <c r="H2" s="2">
        <v>4</v>
      </c>
      <c r="I2" s="2">
        <v>5</v>
      </c>
      <c r="J2" s="2">
        <v>6</v>
      </c>
      <c r="K2" s="2">
        <v>7</v>
      </c>
      <c r="L2" s="2">
        <v>8</v>
      </c>
      <c r="M2" s="2">
        <v>9</v>
      </c>
      <c r="N2" s="2">
        <v>10</v>
      </c>
      <c r="P2" s="3" t="s">
        <v>4</v>
      </c>
      <c r="Q2" s="3" t="s">
        <v>5</v>
      </c>
      <c r="R2" s="3" t="s">
        <v>6</v>
      </c>
    </row>
    <row r="3" spans="1:18" x14ac:dyDescent="0.3">
      <c r="A3" s="1">
        <f>-3.1416</f>
        <v>-3.1415999999999999</v>
      </c>
      <c r="B3">
        <f>-0.25*POWER(A3, 4) + 3</f>
        <v>-21.352500544127079</v>
      </c>
      <c r="C3">
        <f>D3+SUM(E3:N3)</f>
        <v>-19.477204385325404</v>
      </c>
      <c r="D3">
        <f>3-(POWER(PI(),4)/20)</f>
        <v>-1.8704545517001216</v>
      </c>
      <c r="E3">
        <f>(2 * POWER(-1, E$2) * (6 - POWER(PI() * E$2, 2)) / POWER(E$2, 4)) * COS(E$2 * $A3)</f>
        <v>-7.7392088019698742</v>
      </c>
      <c r="F3">
        <f t="shared" ref="F3:N18" si="0">(2 * POWER(-1, F$2) * (6 - POWER(PI() * F$2, 2)) / POWER(F$2, 4)) * COS(F$2 * $A3)</f>
        <v>-4.1848022000929737</v>
      </c>
      <c r="G3">
        <f t="shared" si="0"/>
        <v>-2.0450972738194735</v>
      </c>
      <c r="H3">
        <f t="shared" si="0"/>
        <v>-1.1868255496237483</v>
      </c>
      <c r="I3">
        <f t="shared" si="0"/>
        <v>-0.77036835156744132</v>
      </c>
      <c r="J3">
        <f t="shared" si="0"/>
        <v>-0.53905209583315117</v>
      </c>
      <c r="K3">
        <f t="shared" si="0"/>
        <v>-0.3978430779024188</v>
      </c>
      <c r="L3">
        <f t="shared" si="0"/>
        <v>-0.30549544950644208</v>
      </c>
      <c r="M3">
        <f t="shared" si="0"/>
        <v>-0.24186494581739415</v>
      </c>
      <c r="N3">
        <f t="shared" si="0"/>
        <v>-0.19619208749236536</v>
      </c>
      <c r="P3">
        <v>1</v>
      </c>
      <c r="Q3">
        <f>(-1)^(P3+1)*((2*PI()^2)/P3^2-12/P3^4)</f>
        <v>7.739208802178716</v>
      </c>
      <c r="R3">
        <v>0</v>
      </c>
    </row>
    <row r="4" spans="1:18" x14ac:dyDescent="0.3">
      <c r="A4" s="1">
        <f>A3+0.1</f>
        <v>-3.0415999999999999</v>
      </c>
      <c r="B4">
        <f t="shared" ref="B4:B66" si="1">-0.25*POWER(A4, 4) + 3</f>
        <v>-18.396779282597475</v>
      </c>
      <c r="C4">
        <f t="shared" ref="C4:C66" si="2">D4+SUM(E4:N4)</f>
        <v>-18.613838898838868</v>
      </c>
      <c r="D4">
        <f t="shared" ref="D4:D66" si="3">3-(POWER(PI(),4)/20)</f>
        <v>-1.8704545517001216</v>
      </c>
      <c r="E4">
        <f t="shared" ref="E4:N35" si="4">(2 * POWER(-1, E$2) * (6 - POWER(PI() * E$2, 2)) / POWER(E$2, 4)) * COS(E$2 * $A4)</f>
        <v>-7.700550669985474</v>
      </c>
      <c r="F4">
        <f t="shared" si="0"/>
        <v>-4.1013969866788038</v>
      </c>
      <c r="G4">
        <f t="shared" si="0"/>
        <v>-1.9537693692872788</v>
      </c>
      <c r="H4">
        <f t="shared" si="0"/>
        <v>-1.0931523016542326</v>
      </c>
      <c r="I4">
        <f t="shared" si="0"/>
        <v>-0.67607539797277971</v>
      </c>
      <c r="J4">
        <f t="shared" si="0"/>
        <v>-0.44491230921937736</v>
      </c>
      <c r="K4">
        <f t="shared" si="0"/>
        <v>-0.30430034996732469</v>
      </c>
      <c r="L4">
        <f t="shared" si="0"/>
        <v>-0.21285360901504458</v>
      </c>
      <c r="M4">
        <f t="shared" si="0"/>
        <v>-0.15035818790833078</v>
      </c>
      <c r="N4">
        <f t="shared" si="0"/>
        <v>-0.10601516545009919</v>
      </c>
      <c r="P4">
        <v>2</v>
      </c>
      <c r="Q4">
        <f t="shared" ref="Q4:Q12" si="5">(-1)^(P4+1)*((2*PI()^2)/P4^2-12/P4^4)</f>
        <v>-4.184802200544679</v>
      </c>
      <c r="R4">
        <v>0</v>
      </c>
    </row>
    <row r="5" spans="1:18" x14ac:dyDescent="0.3">
      <c r="A5" s="1">
        <f t="shared" ref="A5:A66" si="6">A4+0.1</f>
        <v>-2.9415999999999998</v>
      </c>
      <c r="B5">
        <f t="shared" si="1"/>
        <v>-15.718647937867871</v>
      </c>
      <c r="C5">
        <f t="shared" si="2"/>
        <v>-16.358476397426884</v>
      </c>
      <c r="D5">
        <f t="shared" si="3"/>
        <v>-1.8704545517001216</v>
      </c>
      <c r="E5">
        <f t="shared" si="4"/>
        <v>-7.5849511811702035</v>
      </c>
      <c r="F5">
        <f t="shared" si="0"/>
        <v>-3.8544820181123773</v>
      </c>
      <c r="G5">
        <f t="shared" si="0"/>
        <v>-1.6879170658126432</v>
      </c>
      <c r="H5">
        <f t="shared" si="0"/>
        <v>-0.82689434149262986</v>
      </c>
      <c r="I5">
        <f t="shared" si="0"/>
        <v>-0.41625560800056921</v>
      </c>
      <c r="J5">
        <f t="shared" si="0"/>
        <v>-0.19535185278776768</v>
      </c>
      <c r="K5">
        <f t="shared" si="0"/>
        <v>-6.7640412618467941E-2</v>
      </c>
      <c r="L5">
        <f t="shared" si="0"/>
        <v>8.9023744873626062E-3</v>
      </c>
      <c r="M5">
        <f t="shared" si="0"/>
        <v>5.4936648987529611E-2</v>
      </c>
      <c r="N5">
        <f t="shared" si="0"/>
        <v>8.1631610793003476E-2</v>
      </c>
      <c r="P5">
        <v>3</v>
      </c>
      <c r="Q5">
        <f t="shared" si="5"/>
        <v>2.045097274316154</v>
      </c>
      <c r="R5">
        <v>0</v>
      </c>
    </row>
    <row r="6" spans="1:18" x14ac:dyDescent="0.3">
      <c r="A6" s="1">
        <f t="shared" si="6"/>
        <v>-2.8415999999999997</v>
      </c>
      <c r="B6">
        <f t="shared" si="1"/>
        <v>-13.300156909938273</v>
      </c>
      <c r="C6">
        <f t="shared" si="2"/>
        <v>-13.512394989711368</v>
      </c>
      <c r="D6">
        <f t="shared" si="3"/>
        <v>-1.8704545517001216</v>
      </c>
      <c r="E6">
        <f t="shared" si="4"/>
        <v>-7.3935653674041939</v>
      </c>
      <c r="F6">
        <f t="shared" si="0"/>
        <v>-3.4539010150051968</v>
      </c>
      <c r="G6">
        <f t="shared" si="0"/>
        <v>-1.2712881578900104</v>
      </c>
      <c r="H6">
        <f t="shared" si="0"/>
        <v>-0.43008794656689253</v>
      </c>
      <c r="I6">
        <f t="shared" si="0"/>
        <v>-5.4521927767968902E-2</v>
      </c>
      <c r="J6">
        <f t="shared" si="0"/>
        <v>0.12245062613070333</v>
      </c>
      <c r="K6">
        <f t="shared" si="0"/>
        <v>0.20083186769545505</v>
      </c>
      <c r="L6">
        <f t="shared" si="0"/>
        <v>0.22525829708397768</v>
      </c>
      <c r="M6">
        <f t="shared" si="0"/>
        <v>0.21865652517640111</v>
      </c>
      <c r="N6">
        <f t="shared" si="0"/>
        <v>0.1942266605364798</v>
      </c>
      <c r="P6">
        <v>4</v>
      </c>
      <c r="Q6">
        <f t="shared" si="5"/>
        <v>-1.1868255501361697</v>
      </c>
      <c r="R6">
        <v>0</v>
      </c>
    </row>
    <row r="7" spans="1:18" x14ac:dyDescent="0.3">
      <c r="A7" s="1">
        <f t="shared" si="6"/>
        <v>-2.7415999999999996</v>
      </c>
      <c r="B7">
        <f t="shared" si="1"/>
        <v>-11.12395659880867</v>
      </c>
      <c r="C7">
        <f t="shared" si="2"/>
        <v>-10.877847249835828</v>
      </c>
      <c r="D7">
        <f t="shared" si="3"/>
        <v>-1.8704545517001216</v>
      </c>
      <c r="E7">
        <f t="shared" si="4"/>
        <v>-7.1283054924748557</v>
      </c>
      <c r="F7">
        <f t="shared" si="0"/>
        <v>-2.9156238778446908</v>
      </c>
      <c r="G7">
        <f t="shared" si="0"/>
        <v>-0.74109886503855937</v>
      </c>
      <c r="H7">
        <f t="shared" si="0"/>
        <v>3.4619878345506457E-2</v>
      </c>
      <c r="I7">
        <f t="shared" si="0"/>
        <v>0.32056062190093726</v>
      </c>
      <c r="J7">
        <f t="shared" si="0"/>
        <v>0.39747757841508574</v>
      </c>
      <c r="K7">
        <f t="shared" si="0"/>
        <v>0.37484978254770984</v>
      </c>
      <c r="L7">
        <f t="shared" si="0"/>
        <v>0.30497555934168574</v>
      </c>
      <c r="M7">
        <f t="shared" si="0"/>
        <v>0.21690150236662251</v>
      </c>
      <c r="N7">
        <f t="shared" si="0"/>
        <v>0.12825061430485343</v>
      </c>
      <c r="P7">
        <v>5</v>
      </c>
      <c r="Q7">
        <f t="shared" si="5"/>
        <v>0.7703683520871486</v>
      </c>
      <c r="R7">
        <v>0</v>
      </c>
    </row>
    <row r="8" spans="1:18" x14ac:dyDescent="0.3">
      <c r="A8" s="1">
        <f t="shared" si="6"/>
        <v>-2.6415999999999995</v>
      </c>
      <c r="B8">
        <f t="shared" si="1"/>
        <v>-9.1732974044790687</v>
      </c>
      <c r="C8">
        <f t="shared" si="2"/>
        <v>-8.8557909994205382</v>
      </c>
      <c r="D8">
        <f t="shared" si="3"/>
        <v>-1.8704545517001216</v>
      </c>
      <c r="E8">
        <f t="shared" si="4"/>
        <v>-6.7918219453692261</v>
      </c>
      <c r="F8">
        <f t="shared" si="0"/>
        <v>-2.2611100174577161</v>
      </c>
      <c r="G8">
        <f t="shared" si="0"/>
        <v>-0.14470941775180862</v>
      </c>
      <c r="H8">
        <f t="shared" si="0"/>
        <v>0.49386198568923478</v>
      </c>
      <c r="I8">
        <f t="shared" si="0"/>
        <v>0.61715875138596021</v>
      </c>
      <c r="J8">
        <f t="shared" si="0"/>
        <v>0.5336541770573453</v>
      </c>
      <c r="K8">
        <f t="shared" si="0"/>
        <v>0.37256998747835524</v>
      </c>
      <c r="L8">
        <f t="shared" si="0"/>
        <v>0.19969873967653609</v>
      </c>
      <c r="M8">
        <f t="shared" si="0"/>
        <v>5.0999746831550369E-2</v>
      </c>
      <c r="N8">
        <f t="shared" si="0"/>
        <v>-5.563845526064435E-2</v>
      </c>
      <c r="P8">
        <v>6</v>
      </c>
      <c r="Q8">
        <f t="shared" si="5"/>
        <v>-0.53905209635681617</v>
      </c>
      <c r="R8">
        <v>0</v>
      </c>
    </row>
    <row r="9" spans="1:18" x14ac:dyDescent="0.3">
      <c r="A9" s="1">
        <f t="shared" si="6"/>
        <v>-2.5415999999999994</v>
      </c>
      <c r="B9">
        <f t="shared" si="1"/>
        <v>-7.4320297269494695</v>
      </c>
      <c r="C9">
        <f t="shared" si="2"/>
        <v>-7.3620979341599364</v>
      </c>
      <c r="D9">
        <f t="shared" si="3"/>
        <v>-1.8704545517001216</v>
      </c>
      <c r="E9">
        <f t="shared" si="4"/>
        <v>-6.387476758463313</v>
      </c>
      <c r="F9">
        <f t="shared" si="0"/>
        <v>-1.5164528360199769</v>
      </c>
      <c r="G9">
        <f t="shared" si="0"/>
        <v>0.46460649084171246</v>
      </c>
      <c r="H9">
        <f t="shared" si="0"/>
        <v>0.87513414453282379</v>
      </c>
      <c r="I9">
        <f t="shared" si="0"/>
        <v>0.76265489436777201</v>
      </c>
      <c r="J9">
        <f t="shared" si="0"/>
        <v>0.48341001832639924</v>
      </c>
      <c r="K9">
        <f t="shared" si="0"/>
        <v>0.19506470573128942</v>
      </c>
      <c r="L9">
        <f t="shared" si="0"/>
        <v>-2.6712655780054585E-2</v>
      </c>
      <c r="M9">
        <f t="shared" si="0"/>
        <v>-0.15349760034707918</v>
      </c>
      <c r="N9">
        <f t="shared" si="0"/>
        <v>-0.18837378564938856</v>
      </c>
      <c r="P9">
        <v>7</v>
      </c>
      <c r="Q9">
        <f t="shared" si="5"/>
        <v>0.39784307842847028</v>
      </c>
      <c r="R9">
        <v>0</v>
      </c>
    </row>
    <row r="10" spans="1:18" x14ac:dyDescent="0.3">
      <c r="A10" s="1">
        <f t="shared" si="6"/>
        <v>-2.4415999999999993</v>
      </c>
      <c r="B10">
        <f t="shared" si="1"/>
        <v>-5.884603966219867</v>
      </c>
      <c r="C10">
        <f t="shared" si="2"/>
        <v>-6.0655715473551357</v>
      </c>
      <c r="D10">
        <f t="shared" si="3"/>
        <v>-1.8704545517001216</v>
      </c>
      <c r="E10">
        <f t="shared" si="4"/>
        <v>-5.9193100152059293</v>
      </c>
      <c r="F10">
        <f t="shared" si="0"/>
        <v>-0.71133946545377225</v>
      </c>
      <c r="G10">
        <f t="shared" si="0"/>
        <v>1.0324204853231895</v>
      </c>
      <c r="H10">
        <f t="shared" si="0"/>
        <v>1.1182418644092993</v>
      </c>
      <c r="I10">
        <f t="shared" si="0"/>
        <v>0.7214265206890409</v>
      </c>
      <c r="J10">
        <f t="shared" si="0"/>
        <v>0.26429683240048923</v>
      </c>
      <c r="K10">
        <f t="shared" si="0"/>
        <v>-7.4182555091307459E-2</v>
      </c>
      <c r="L10">
        <f t="shared" si="0"/>
        <v>-0.23692051268942677</v>
      </c>
      <c r="M10">
        <f t="shared" si="0"/>
        <v>-0.24183102379429192</v>
      </c>
      <c r="N10">
        <f t="shared" si="0"/>
        <v>-0.1479191262423056</v>
      </c>
      <c r="P10">
        <v>8</v>
      </c>
      <c r="Q10">
        <f t="shared" si="5"/>
        <v>-0.30549545003404244</v>
      </c>
      <c r="R10">
        <v>0</v>
      </c>
    </row>
    <row r="11" spans="1:18" x14ac:dyDescent="0.3">
      <c r="A11" s="1">
        <f t="shared" si="6"/>
        <v>-2.3415999999999992</v>
      </c>
      <c r="B11">
        <f t="shared" si="1"/>
        <v>-4.5160705222902688</v>
      </c>
      <c r="C11">
        <f t="shared" si="2"/>
        <v>-4.721657143099506</v>
      </c>
      <c r="D11">
        <f t="shared" si="3"/>
        <v>-1.8704545517001216</v>
      </c>
      <c r="E11">
        <f t="shared" si="4"/>
        <v>-5.3919994829403555</v>
      </c>
      <c r="F11">
        <f t="shared" si="0"/>
        <v>0.1221327648385835</v>
      </c>
      <c r="G11">
        <f t="shared" si="0"/>
        <v>1.5080114326583072</v>
      </c>
      <c r="H11">
        <f t="shared" si="0"/>
        <v>1.1848037818041133</v>
      </c>
      <c r="I11">
        <f t="shared" si="0"/>
        <v>0.50356777411612097</v>
      </c>
      <c r="J11">
        <f t="shared" si="0"/>
        <v>-4.7142840950523734E-2</v>
      </c>
      <c r="K11">
        <f t="shared" si="0"/>
        <v>-0.3085406011200636</v>
      </c>
      <c r="L11">
        <f t="shared" si="0"/>
        <v>-0.30341556576533296</v>
      </c>
      <c r="M11">
        <f t="shared" si="0"/>
        <v>-0.14715154970818486</v>
      </c>
      <c r="N11">
        <f t="shared" si="0"/>
        <v>2.8531695667952179E-2</v>
      </c>
      <c r="P11">
        <v>9</v>
      </c>
      <c r="Q11">
        <f t="shared" si="5"/>
        <v>0.24186494634605638</v>
      </c>
      <c r="R11">
        <v>0</v>
      </c>
    </row>
    <row r="12" spans="1:18" x14ac:dyDescent="0.3">
      <c r="A12" s="1">
        <f t="shared" si="6"/>
        <v>-2.2415999999999991</v>
      </c>
      <c r="B12">
        <f t="shared" si="1"/>
        <v>-3.3120797951606678</v>
      </c>
      <c r="C12">
        <f t="shared" si="2"/>
        <v>-3.3430312227499996</v>
      </c>
      <c r="D12">
        <f t="shared" si="3"/>
        <v>-1.8704545517001216</v>
      </c>
      <c r="E12">
        <f t="shared" si="4"/>
        <v>-4.8108138741993001</v>
      </c>
      <c r="F12">
        <f t="shared" si="0"/>
        <v>0.95073594720905164</v>
      </c>
      <c r="G12">
        <f t="shared" si="0"/>
        <v>1.8488962099509343</v>
      </c>
      <c r="H12">
        <f t="shared" si="0"/>
        <v>1.0643112335244482</v>
      </c>
      <c r="I12">
        <f t="shared" si="0"/>
        <v>0.16241807389947371</v>
      </c>
      <c r="J12">
        <f t="shared" si="0"/>
        <v>-0.34211416364946773</v>
      </c>
      <c r="K12">
        <f t="shared" si="0"/>
        <v>-0.39778718136217345</v>
      </c>
      <c r="L12">
        <f t="shared" si="0"/>
        <v>-0.18586280808872005</v>
      </c>
      <c r="M12">
        <f t="shared" si="0"/>
        <v>5.8889283504124604E-2</v>
      </c>
      <c r="N12">
        <f t="shared" si="0"/>
        <v>0.17875060816175106</v>
      </c>
      <c r="P12">
        <v>10</v>
      </c>
      <c r="Q12">
        <f t="shared" si="5"/>
        <v>-0.19619208802178714</v>
      </c>
      <c r="R12">
        <v>0</v>
      </c>
    </row>
    <row r="13" spans="1:18" x14ac:dyDescent="0.3">
      <c r="A13" s="1">
        <f t="shared" si="6"/>
        <v>-2.1415999999999991</v>
      </c>
      <c r="B13">
        <f t="shared" si="1"/>
        <v>-2.2588821848310685</v>
      </c>
      <c r="C13">
        <f t="shared" si="2"/>
        <v>-2.1167644131863215</v>
      </c>
      <c r="D13">
        <f t="shared" si="3"/>
        <v>-1.8704545517001216</v>
      </c>
      <c r="E13">
        <f t="shared" si="4"/>
        <v>-4.1815602034708839</v>
      </c>
      <c r="F13">
        <f t="shared" si="0"/>
        <v>1.7414362875850695</v>
      </c>
      <c r="G13">
        <f t="shared" si="0"/>
        <v>2.0246245952860225</v>
      </c>
      <c r="H13">
        <f t="shared" si="0"/>
        <v>0.77578734355281653</v>
      </c>
      <c r="I13">
        <f t="shared" si="0"/>
        <v>-0.21849723533611995</v>
      </c>
      <c r="J13">
        <f t="shared" si="0"/>
        <v>-0.51757516629936395</v>
      </c>
      <c r="K13">
        <f t="shared" si="0"/>
        <v>-0.2999482346134888</v>
      </c>
      <c r="L13">
        <f t="shared" si="0"/>
        <v>4.4431834938301398E-2</v>
      </c>
      <c r="M13">
        <f t="shared" si="0"/>
        <v>0.22036388100914645</v>
      </c>
      <c r="N13">
        <f t="shared" si="0"/>
        <v>0.16462703586229996</v>
      </c>
    </row>
    <row r="14" spans="1:18" x14ac:dyDescent="0.3">
      <c r="A14" s="1">
        <f t="shared" si="6"/>
        <v>-2.041599999999999</v>
      </c>
      <c r="B14">
        <f t="shared" si="1"/>
        <v>-1.3433280913014691</v>
      </c>
      <c r="C14">
        <f t="shared" si="2"/>
        <v>-1.1911819572817168</v>
      </c>
      <c r="D14">
        <f t="shared" si="3"/>
        <v>-1.8704545517001216</v>
      </c>
      <c r="E14">
        <f t="shared" si="4"/>
        <v>-3.5105257654294171</v>
      </c>
      <c r="F14">
        <f t="shared" si="0"/>
        <v>2.4627110585950591</v>
      </c>
      <c r="G14">
        <f t="shared" si="0"/>
        <v>2.0194992953648652</v>
      </c>
      <c r="H14">
        <f t="shared" si="0"/>
        <v>0.36478369005078132</v>
      </c>
      <c r="I14">
        <f t="shared" si="0"/>
        <v>-0.54591680100394535</v>
      </c>
      <c r="J14">
        <f t="shared" si="0"/>
        <v>-0.51223227262986126</v>
      </c>
      <c r="K14">
        <f t="shared" si="0"/>
        <v>-6.1038946305629442E-2</v>
      </c>
      <c r="L14">
        <f t="shared" si="0"/>
        <v>0.24777472310896076</v>
      </c>
      <c r="M14">
        <f t="shared" si="0"/>
        <v>0.21507148666006748</v>
      </c>
      <c r="N14">
        <f t="shared" si="0"/>
        <v>-8.538739924758617E-4</v>
      </c>
    </row>
    <row r="15" spans="1:18" x14ac:dyDescent="0.3">
      <c r="A15" s="1">
        <f t="shared" si="6"/>
        <v>-1.9415999999999989</v>
      </c>
      <c r="B15">
        <f t="shared" si="1"/>
        <v>-0.55286791457187068</v>
      </c>
      <c r="C15">
        <f t="shared" si="2"/>
        <v>-0.53766026328308802</v>
      </c>
      <c r="D15">
        <f t="shared" si="3"/>
        <v>-1.8704545517001216</v>
      </c>
      <c r="E15">
        <f t="shared" si="4"/>
        <v>-2.8044153143653148</v>
      </c>
      <c r="F15">
        <f t="shared" si="0"/>
        <v>3.0858053112330124</v>
      </c>
      <c r="G15">
        <f t="shared" si="0"/>
        <v>1.8339781379649878</v>
      </c>
      <c r="H15">
        <f t="shared" si="0"/>
        <v>-0.10381128724439068</v>
      </c>
      <c r="I15">
        <f t="shared" si="0"/>
        <v>-0.73967689427195826</v>
      </c>
      <c r="J15">
        <f t="shared" si="0"/>
        <v>-0.3279519091157323</v>
      </c>
      <c r="K15">
        <f t="shared" si="0"/>
        <v>0.20657791220961269</v>
      </c>
      <c r="L15">
        <f t="shared" si="0"/>
        <v>0.3008207890549966</v>
      </c>
      <c r="M15">
        <f t="shared" si="0"/>
        <v>4.7017278988231208E-2</v>
      </c>
      <c r="N15">
        <f t="shared" si="0"/>
        <v>-0.16554973603641104</v>
      </c>
    </row>
    <row r="16" spans="1:18" x14ac:dyDescent="0.3">
      <c r="A16" s="1">
        <f t="shared" si="6"/>
        <v>-1.8415999999999988</v>
      </c>
      <c r="B16">
        <f t="shared" si="1"/>
        <v>0.12444794535772941</v>
      </c>
      <c r="C16">
        <f t="shared" si="2"/>
        <v>6.0816046242915256E-3</v>
      </c>
      <c r="D16">
        <f t="shared" si="3"/>
        <v>-1.8704545517001216</v>
      </c>
      <c r="E16">
        <f t="shared" si="4"/>
        <v>-2.0702840724965275</v>
      </c>
      <c r="F16">
        <f t="shared" si="0"/>
        <v>3.5858782439338723</v>
      </c>
      <c r="G16">
        <f t="shared" si="0"/>
        <v>1.4846331755483109</v>
      </c>
      <c r="H16">
        <f t="shared" si="0"/>
        <v>-0.55601674488685626</v>
      </c>
      <c r="I16">
        <f t="shared" si="0"/>
        <v>-0.75233828668865377</v>
      </c>
      <c r="J16">
        <f t="shared" si="0"/>
        <v>-2.9108508511810818E-2</v>
      </c>
      <c r="K16">
        <f t="shared" si="0"/>
        <v>0.37703795074375562</v>
      </c>
      <c r="L16">
        <f t="shared" si="0"/>
        <v>0.17139300098248789</v>
      </c>
      <c r="M16">
        <f t="shared" si="0"/>
        <v>-0.15661866805997224</v>
      </c>
      <c r="N16">
        <f t="shared" si="0"/>
        <v>-0.17803993424019363</v>
      </c>
    </row>
    <row r="17" spans="1:14" x14ac:dyDescent="0.3">
      <c r="A17" s="1">
        <f t="shared" si="6"/>
        <v>-1.7415999999999987</v>
      </c>
      <c r="B17">
        <f t="shared" si="1"/>
        <v>0.69996908848732842</v>
      </c>
      <c r="C17">
        <f t="shared" si="2"/>
        <v>0.57800691195983633</v>
      </c>
      <c r="D17">
        <f t="shared" si="3"/>
        <v>-1.8704545517001216</v>
      </c>
      <c r="E17">
        <f t="shared" si="4"/>
        <v>-1.3154672365202837</v>
      </c>
      <c r="F17">
        <f t="shared" si="0"/>
        <v>3.9429935269422507</v>
      </c>
      <c r="G17">
        <f t="shared" si="0"/>
        <v>1.0026703531704577</v>
      </c>
      <c r="H17">
        <f t="shared" si="0"/>
        <v>-0.92043938421108196</v>
      </c>
      <c r="I17">
        <f t="shared" si="0"/>
        <v>-0.58080102780892573</v>
      </c>
      <c r="J17">
        <f t="shared" si="0"/>
        <v>0.27990333157233427</v>
      </c>
      <c r="K17">
        <f t="shared" si="0"/>
        <v>0.37017114966261749</v>
      </c>
      <c r="L17">
        <f t="shared" si="0"/>
        <v>-6.1999481615707536E-2</v>
      </c>
      <c r="M17">
        <f t="shared" si="0"/>
        <v>-0.24172872955493765</v>
      </c>
      <c r="N17">
        <f t="shared" si="0"/>
        <v>-2.6841037976765441E-2</v>
      </c>
    </row>
    <row r="18" spans="1:14" x14ac:dyDescent="0.3">
      <c r="A18" s="1">
        <f t="shared" si="6"/>
        <v>-1.6415999999999986</v>
      </c>
      <c r="B18">
        <f t="shared" si="1"/>
        <v>1.1844451148169277</v>
      </c>
      <c r="C18">
        <f t="shared" si="2"/>
        <v>1.1771786565136746</v>
      </c>
      <c r="D18">
        <f t="shared" si="3"/>
        <v>-1.8704545517001216</v>
      </c>
      <c r="E18">
        <f t="shared" si="4"/>
        <v>-0.5475066867523849</v>
      </c>
      <c r="F18">
        <f t="shared" si="0"/>
        <v>4.1429141008670456</v>
      </c>
      <c r="G18">
        <f t="shared" si="0"/>
        <v>0.43114197434808077</v>
      </c>
      <c r="H18">
        <f t="shared" si="0"/>
        <v>-1.1395448833948687</v>
      </c>
      <c r="I18">
        <f t="shared" si="0"/>
        <v>-0.2670634211775838</v>
      </c>
      <c r="J18">
        <f t="shared" si="0"/>
        <v>0.4911368850688515</v>
      </c>
      <c r="K18">
        <f t="shared" si="0"/>
        <v>0.18920707281138432</v>
      </c>
      <c r="L18">
        <f t="shared" si="0"/>
        <v>-0.25778391061790717</v>
      </c>
      <c r="M18">
        <f t="shared" si="0"/>
        <v>-0.14390330775753296</v>
      </c>
      <c r="N18">
        <f t="shared" si="0"/>
        <v>0.14903538481871201</v>
      </c>
    </row>
    <row r="19" spans="1:14" x14ac:dyDescent="0.3">
      <c r="A19" s="1">
        <f t="shared" si="6"/>
        <v>-1.5415999999999985</v>
      </c>
      <c r="B19">
        <f t="shared" si="1"/>
        <v>1.5880256243465269</v>
      </c>
      <c r="C19">
        <f t="shared" si="2"/>
        <v>1.6911325704424929</v>
      </c>
      <c r="D19">
        <f t="shared" si="3"/>
        <v>-1.8704545517001216</v>
      </c>
      <c r="E19">
        <f t="shared" si="4"/>
        <v>0.22592436884789538</v>
      </c>
      <c r="F19">
        <f t="shared" si="4"/>
        <v>4.1776697633117283</v>
      </c>
      <c r="G19">
        <f t="shared" si="4"/>
        <v>-0.17889903299370286</v>
      </c>
      <c r="H19">
        <f t="shared" si="4"/>
        <v>-1.1787413018100767</v>
      </c>
      <c r="I19">
        <f t="shared" si="4"/>
        <v>0.11206062512046253</v>
      </c>
      <c r="J19">
        <f t="shared" si="4"/>
        <v>0.53080219451391408</v>
      </c>
      <c r="K19">
        <f t="shared" si="4"/>
        <v>-8.0744046825108495E-2</v>
      </c>
      <c r="L19">
        <f t="shared" si="4"/>
        <v>-0.29720007856278402</v>
      </c>
      <c r="M19">
        <f t="shared" si="4"/>
        <v>6.2825268416530272E-2</v>
      </c>
      <c r="N19">
        <f t="shared" si="4"/>
        <v>0.1878893621237567</v>
      </c>
    </row>
    <row r="20" spans="1:14" x14ac:dyDescent="0.3">
      <c r="A20" s="1">
        <f t="shared" si="6"/>
        <v>-1.4415999999999984</v>
      </c>
      <c r="B20">
        <f t="shared" si="1"/>
        <v>1.9202602170761263</v>
      </c>
      <c r="C20">
        <f t="shared" si="2"/>
        <v>2.0234588796337811</v>
      </c>
      <c r="D20">
        <f t="shared" si="3"/>
        <v>-1.8704545517001216</v>
      </c>
      <c r="E20">
        <f t="shared" si="4"/>
        <v>0.99709806283531488</v>
      </c>
      <c r="F20">
        <f t="shared" si="4"/>
        <v>4.0458749156924663</v>
      </c>
      <c r="G20">
        <f t="shared" si="4"/>
        <v>-0.77295952252441913</v>
      </c>
      <c r="H20">
        <f t="shared" si="4"/>
        <v>-1.0318403868400192</v>
      </c>
      <c r="I20">
        <f t="shared" si="4"/>
        <v>0.46374832213808864</v>
      </c>
      <c r="J20">
        <f t="shared" si="4"/>
        <v>0.3850430261402441</v>
      </c>
      <c r="K20">
        <f t="shared" si="4"/>
        <v>-0.31271997957921804</v>
      </c>
      <c r="L20">
        <f t="shared" si="4"/>
        <v>-0.15633866688848516</v>
      </c>
      <c r="M20">
        <f t="shared" si="4"/>
        <v>0.22200893397152383</v>
      </c>
      <c r="N20">
        <f t="shared" si="4"/>
        <v>5.3998726388406998E-2</v>
      </c>
    </row>
    <row r="21" spans="1:14" x14ac:dyDescent="0.3">
      <c r="A21" s="1">
        <f t="shared" si="6"/>
        <v>-1.3415999999999983</v>
      </c>
      <c r="B21">
        <f t="shared" si="1"/>
        <v>2.1900984930057259</v>
      </c>
      <c r="C21">
        <f t="shared" si="2"/>
        <v>2.1926808755006899</v>
      </c>
      <c r="D21">
        <f t="shared" si="3"/>
        <v>-1.8704545517001216</v>
      </c>
      <c r="E21">
        <f t="shared" si="4"/>
        <v>1.7583090825756824</v>
      </c>
      <c r="F21">
        <f t="shared" si="4"/>
        <v>3.7527838026811451</v>
      </c>
      <c r="G21">
        <f t="shared" si="4"/>
        <v>-1.2979738399756637</v>
      </c>
      <c r="H21">
        <f t="shared" si="4"/>
        <v>-0.72203456290030188</v>
      </c>
      <c r="I21">
        <f t="shared" si="4"/>
        <v>0.70189425610814837</v>
      </c>
      <c r="J21">
        <f t="shared" si="4"/>
        <v>0.10477725097836957</v>
      </c>
      <c r="K21">
        <f t="shared" si="4"/>
        <v>-0.39761881955275113</v>
      </c>
      <c r="L21">
        <f t="shared" si="4"/>
        <v>7.9355682259585933E-2</v>
      </c>
      <c r="M21">
        <f t="shared" si="4"/>
        <v>0.21318066438715513</v>
      </c>
      <c r="N21">
        <f t="shared" si="4"/>
        <v>-0.12953808936055874</v>
      </c>
    </row>
    <row r="22" spans="1:14" x14ac:dyDescent="0.3">
      <c r="A22" s="1">
        <f t="shared" si="6"/>
        <v>-1.2415999999999983</v>
      </c>
      <c r="B22">
        <f t="shared" si="1"/>
        <v>2.4058900521353248</v>
      </c>
      <c r="C22">
        <f t="shared" si="2"/>
        <v>2.3128464949212741</v>
      </c>
      <c r="D22">
        <f t="shared" si="3"/>
        <v>-1.8704545517001216</v>
      </c>
      <c r="E22">
        <f t="shared" si="4"/>
        <v>2.5019516591826614</v>
      </c>
      <c r="F22">
        <f t="shared" si="4"/>
        <v>3.3100810420510367</v>
      </c>
      <c r="G22">
        <f t="shared" si="4"/>
        <v>-1.7070440199940458</v>
      </c>
      <c r="H22">
        <f t="shared" si="4"/>
        <v>-0.29823535757876224</v>
      </c>
      <c r="I22">
        <f t="shared" si="4"/>
        <v>0.76819199676496341</v>
      </c>
      <c r="J22">
        <f t="shared" si="4"/>
        <v>-0.21209023241068831</v>
      </c>
      <c r="K22">
        <f t="shared" si="4"/>
        <v>-0.29551131572518641</v>
      </c>
      <c r="L22">
        <f t="shared" si="4"/>
        <v>0.26691393939863578</v>
      </c>
      <c r="M22">
        <f t="shared" si="4"/>
        <v>4.3021518079713376E-2</v>
      </c>
      <c r="N22">
        <f t="shared" si="4"/>
        <v>-0.19397818314693271</v>
      </c>
    </row>
    <row r="23" spans="1:14" x14ac:dyDescent="0.3">
      <c r="A23" s="1">
        <f t="shared" si="6"/>
        <v>-1.1415999999999982</v>
      </c>
      <c r="B23">
        <f t="shared" si="1"/>
        <v>2.5753844944649242</v>
      </c>
      <c r="C23">
        <f t="shared" si="2"/>
        <v>2.4844919411938049</v>
      </c>
      <c r="D23">
        <f t="shared" si="3"/>
        <v>-1.8704545517001216</v>
      </c>
      <c r="E23">
        <f t="shared" si="4"/>
        <v>3.2205955618463489</v>
      </c>
      <c r="F23">
        <f t="shared" si="4"/>
        <v>2.7354157958391152</v>
      </c>
      <c r="G23">
        <f t="shared" si="4"/>
        <v>-1.9636290417122804</v>
      </c>
      <c r="H23">
        <f t="shared" si="4"/>
        <v>0.17264865310370092</v>
      </c>
      <c r="I23">
        <f t="shared" si="4"/>
        <v>0.64640954498120662</v>
      </c>
      <c r="J23">
        <f t="shared" si="4"/>
        <v>-0.45486849574439298</v>
      </c>
      <c r="K23">
        <f t="shared" si="4"/>
        <v>-5.442022262038565E-2</v>
      </c>
      <c r="L23">
        <f t="shared" si="4"/>
        <v>0.29256578253503829</v>
      </c>
      <c r="M23">
        <f t="shared" si="4"/>
        <v>-0.15969545541018224</v>
      </c>
      <c r="N23">
        <f t="shared" si="4"/>
        <v>-8.0075629924241373E-2</v>
      </c>
    </row>
    <row r="24" spans="1:14" x14ac:dyDescent="0.3">
      <c r="A24" s="1">
        <f t="shared" si="6"/>
        <v>-1.0415999999999981</v>
      </c>
      <c r="B24">
        <f t="shared" si="1"/>
        <v>2.7057314199945237</v>
      </c>
      <c r="C24">
        <f t="shared" si="2"/>
        <v>2.7062923297402017</v>
      </c>
      <c r="D24">
        <f t="shared" si="3"/>
        <v>-1.8704545517001216</v>
      </c>
      <c r="E24">
        <f t="shared" si="4"/>
        <v>3.9070603382434195</v>
      </c>
      <c r="F24">
        <f t="shared" si="4"/>
        <v>2.0516981539507997</v>
      </c>
      <c r="G24">
        <f t="shared" si="4"/>
        <v>-2.0448089293149296</v>
      </c>
      <c r="H24">
        <f t="shared" si="4"/>
        <v>0.61627523766067027</v>
      </c>
      <c r="I24">
        <f t="shared" si="4"/>
        <v>0.36636349226503073</v>
      </c>
      <c r="J24">
        <f t="shared" si="4"/>
        <v>-0.53874810686578933</v>
      </c>
      <c r="K24">
        <f t="shared" si="4"/>
        <v>0.21226555152221707</v>
      </c>
      <c r="L24">
        <f t="shared" si="4"/>
        <v>0.14075114783649381</v>
      </c>
      <c r="M24">
        <f t="shared" si="4"/>
        <v>-0.24155809202069869</v>
      </c>
      <c r="N24">
        <f t="shared" si="4"/>
        <v>0.10744808816311015</v>
      </c>
    </row>
    <row r="25" spans="1:14" x14ac:dyDescent="0.3">
      <c r="A25" s="1">
        <f t="shared" si="6"/>
        <v>-0.94159999999999811</v>
      </c>
      <c r="B25">
        <f t="shared" si="1"/>
        <v>2.8034804287241233</v>
      </c>
      <c r="C25">
        <f t="shared" si="2"/>
        <v>2.8899314759365655</v>
      </c>
      <c r="D25">
        <f t="shared" si="3"/>
        <v>-1.8704545517001216</v>
      </c>
      <c r="E25">
        <f t="shared" si="4"/>
        <v>4.5544870592432005</v>
      </c>
      <c r="F25">
        <f t="shared" si="4"/>
        <v>1.286185781172392</v>
      </c>
      <c r="G25">
        <f t="shared" si="4"/>
        <v>-1.943332125216549</v>
      </c>
      <c r="H25">
        <f t="shared" si="4"/>
        <v>0.96260551285450102</v>
      </c>
      <c r="I25">
        <f t="shared" si="4"/>
        <v>-3.3811207311073652E-3</v>
      </c>
      <c r="J25">
        <f t="shared" si="4"/>
        <v>-0.43442750437860966</v>
      </c>
      <c r="K25">
        <f t="shared" si="4"/>
        <v>0.37911952004318711</v>
      </c>
      <c r="L25">
        <f t="shared" si="4"/>
        <v>-9.6441244443038171E-2</v>
      </c>
      <c r="M25">
        <f t="shared" si="4"/>
        <v>-0.14061438042283514</v>
      </c>
      <c r="N25">
        <f t="shared" si="4"/>
        <v>0.19618452951554424</v>
      </c>
    </row>
    <row r="26" spans="1:14" x14ac:dyDescent="0.3">
      <c r="A26" s="1">
        <f t="shared" si="6"/>
        <v>-0.84159999999999813</v>
      </c>
      <c r="B26">
        <f t="shared" si="1"/>
        <v>2.8745811206537226</v>
      </c>
      <c r="C26">
        <f t="shared" si="2"/>
        <v>2.9572283317075758</v>
      </c>
      <c r="D26">
        <f t="shared" si="3"/>
        <v>-1.8704545517001216</v>
      </c>
      <c r="E26">
        <f t="shared" si="4"/>
        <v>5.1564068510602823</v>
      </c>
      <c r="F26">
        <f t="shared" si="4"/>
        <v>0.46939724009258071</v>
      </c>
      <c r="G26">
        <f t="shared" si="4"/>
        <v>-1.668263250103831</v>
      </c>
      <c r="H26">
        <f t="shared" si="4"/>
        <v>1.1569615433441771</v>
      </c>
      <c r="I26">
        <f t="shared" si="4"/>
        <v>-0.37229791745156243</v>
      </c>
      <c r="J26">
        <f t="shared" si="4"/>
        <v>-0.17834887605420432</v>
      </c>
      <c r="K26">
        <f t="shared" si="4"/>
        <v>0.36766765438193633</v>
      </c>
      <c r="L26">
        <f t="shared" si="4"/>
        <v>-0.27513367195900329</v>
      </c>
      <c r="M26">
        <f t="shared" si="4"/>
        <v>6.6743490914623393E-2</v>
      </c>
      <c r="N26">
        <f t="shared" si="4"/>
        <v>0.10454981918269918</v>
      </c>
    </row>
    <row r="27" spans="1:14" x14ac:dyDescent="0.3">
      <c r="A27" s="1">
        <f t="shared" si="6"/>
        <v>-0.74159999999999815</v>
      </c>
      <c r="B27">
        <f t="shared" si="1"/>
        <v>2.9243830957833223</v>
      </c>
      <c r="C27">
        <f t="shared" si="2"/>
        <v>2.921446581053357</v>
      </c>
      <c r="D27">
        <f t="shared" si="3"/>
        <v>-1.8704545517001216</v>
      </c>
      <c r="E27">
        <f t="shared" si="4"/>
        <v>5.7068055301030585</v>
      </c>
      <c r="F27">
        <f t="shared" si="4"/>
        <v>-0.3661046876810734</v>
      </c>
      <c r="G27">
        <f t="shared" si="4"/>
        <v>-1.2441733873663841</v>
      </c>
      <c r="H27">
        <f t="shared" si="4"/>
        <v>1.1686587854168986</v>
      </c>
      <c r="I27">
        <f t="shared" si="4"/>
        <v>-0.65006319963607773</v>
      </c>
      <c r="J27">
        <f t="shared" si="4"/>
        <v>0.14003214580531659</v>
      </c>
      <c r="K27">
        <f t="shared" si="4"/>
        <v>0.18329594589928799</v>
      </c>
      <c r="L27">
        <f t="shared" si="4"/>
        <v>-0.2869337059992812</v>
      </c>
      <c r="M27">
        <f t="shared" si="4"/>
        <v>0.22359121896225986</v>
      </c>
      <c r="N27">
        <f t="shared" si="4"/>
        <v>-8.3207512750525209E-2</v>
      </c>
    </row>
    <row r="28" spans="1:14" x14ac:dyDescent="0.3">
      <c r="A28" s="1">
        <f t="shared" si="6"/>
        <v>-0.64159999999999817</v>
      </c>
      <c r="B28">
        <f t="shared" si="1"/>
        <v>2.9576359541129222</v>
      </c>
      <c r="C28">
        <f t="shared" si="2"/>
        <v>2.8752478327436819</v>
      </c>
      <c r="D28">
        <f t="shared" si="3"/>
        <v>-1.8704545517001216</v>
      </c>
      <c r="E28">
        <f t="shared" si="4"/>
        <v>6.200183694708147</v>
      </c>
      <c r="F28">
        <f t="shared" si="4"/>
        <v>-1.1870111768670331</v>
      </c>
      <c r="G28">
        <f t="shared" si="4"/>
        <v>-0.7089452213963976</v>
      </c>
      <c r="H28">
        <f t="shared" si="4"/>
        <v>0.99585050174840906</v>
      </c>
      <c r="I28">
        <f t="shared" si="4"/>
        <v>-0.76867033880300173</v>
      </c>
      <c r="J28">
        <f t="shared" si="4"/>
        <v>0.40949591038490929</v>
      </c>
      <c r="K28">
        <f t="shared" si="4"/>
        <v>-8.7282710017955054E-2</v>
      </c>
      <c r="L28">
        <f t="shared" si="4"/>
        <v>-0.12468360425608924</v>
      </c>
      <c r="M28">
        <f t="shared" si="4"/>
        <v>0.21122957013483587</v>
      </c>
      <c r="N28">
        <f t="shared" si="4"/>
        <v>-0.19446424119202213</v>
      </c>
    </row>
    <row r="29" spans="1:14" x14ac:dyDescent="0.3">
      <c r="A29" s="1">
        <f t="shared" si="6"/>
        <v>-0.54159999999999819</v>
      </c>
      <c r="B29">
        <f t="shared" si="1"/>
        <v>2.9784892956425217</v>
      </c>
      <c r="C29">
        <f t="shared" si="2"/>
        <v>2.9012919831375328</v>
      </c>
      <c r="D29">
        <f t="shared" si="3"/>
        <v>-1.8704545517001216</v>
      </c>
      <c r="E29">
        <f t="shared" si="4"/>
        <v>6.6316116733439534</v>
      </c>
      <c r="F29">
        <f t="shared" si="4"/>
        <v>-1.9605952762616825</v>
      </c>
      <c r="G29">
        <f t="shared" si="4"/>
        <v>-0.11038909021603596</v>
      </c>
      <c r="H29">
        <f t="shared" si="4"/>
        <v>0.66581932062042448</v>
      </c>
      <c r="I29">
        <f t="shared" si="4"/>
        <v>-0.69908017071568029</v>
      </c>
      <c r="J29">
        <f t="shared" si="4"/>
        <v>0.53591097219573891</v>
      </c>
      <c r="K29">
        <f t="shared" si="4"/>
        <v>-0.3168109435837887</v>
      </c>
      <c r="L29">
        <f t="shared" si="4"/>
        <v>0.11319789873767284</v>
      </c>
      <c r="M29">
        <f t="shared" si="4"/>
        <v>3.9013593816422942E-2</v>
      </c>
      <c r="N29">
        <f t="shared" si="4"/>
        <v>-0.12693144309937007</v>
      </c>
    </row>
    <row r="30" spans="1:14" x14ac:dyDescent="0.3">
      <c r="A30" s="1">
        <f t="shared" si="6"/>
        <v>-0.44159999999999822</v>
      </c>
      <c r="B30">
        <f t="shared" si="1"/>
        <v>2.9904927203721217</v>
      </c>
      <c r="C30">
        <f t="shared" si="2"/>
        <v>2.9954428767316088</v>
      </c>
      <c r="D30">
        <f t="shared" si="3"/>
        <v>-1.8704545517001216</v>
      </c>
      <c r="E30">
        <f t="shared" si="4"/>
        <v>6.9967787802590777</v>
      </c>
      <c r="F30">
        <f t="shared" si="4"/>
        <v>-2.6560166290079485</v>
      </c>
      <c r="G30">
        <f t="shared" si="4"/>
        <v>0.49802776962688289</v>
      </c>
      <c r="H30">
        <f t="shared" si="4"/>
        <v>0.23066990880553856</v>
      </c>
      <c r="I30">
        <f t="shared" si="4"/>
        <v>-0.4583307955638502</v>
      </c>
      <c r="J30">
        <f t="shared" si="4"/>
        <v>0.4751169131631181</v>
      </c>
      <c r="K30">
        <f t="shared" si="4"/>
        <v>-0.39733804007462042</v>
      </c>
      <c r="L30">
        <f t="shared" si="4"/>
        <v>0.28241507532516469</v>
      </c>
      <c r="M30">
        <f t="shared" si="4"/>
        <v>-0.16272709250613324</v>
      </c>
      <c r="N30">
        <f t="shared" si="4"/>
        <v>5.7301538404501529E-2</v>
      </c>
    </row>
    <row r="31" spans="1:14" x14ac:dyDescent="0.3">
      <c r="A31" s="1">
        <f t="shared" si="6"/>
        <v>-0.34159999999999824</v>
      </c>
      <c r="B31">
        <f t="shared" si="1"/>
        <v>2.9965958283017216</v>
      </c>
      <c r="C31">
        <f t="shared" si="2"/>
        <v>3.0769405266465597</v>
      </c>
      <c r="D31">
        <f t="shared" si="3"/>
        <v>-1.8704545517001216</v>
      </c>
      <c r="E31">
        <f t="shared" si="4"/>
        <v>7.2920363864294195</v>
      </c>
      <c r="F31">
        <f t="shared" si="4"/>
        <v>-3.2455509803008193</v>
      </c>
      <c r="G31">
        <f t="shared" si="4"/>
        <v>1.0619572920608407</v>
      </c>
      <c r="H31">
        <f t="shared" si="4"/>
        <v>-0.24089720963845604</v>
      </c>
      <c r="I31">
        <f t="shared" si="4"/>
        <v>-0.10536605681267222</v>
      </c>
      <c r="J31">
        <f t="shared" si="4"/>
        <v>0.24835084716320169</v>
      </c>
      <c r="K31">
        <f t="shared" si="4"/>
        <v>-0.29099084774022016</v>
      </c>
      <c r="L31">
        <f t="shared" si="4"/>
        <v>0.28032305686198189</v>
      </c>
      <c r="M31">
        <f t="shared" si="4"/>
        <v>-0.24131915943545298</v>
      </c>
      <c r="N31">
        <f t="shared" si="4"/>
        <v>0.18885174975885807</v>
      </c>
    </row>
    <row r="32" spans="1:14" x14ac:dyDescent="0.3">
      <c r="A32" s="1">
        <f t="shared" si="6"/>
        <v>-0.24159999999999823</v>
      </c>
      <c r="B32">
        <f t="shared" si="1"/>
        <v>2.9991482194313215</v>
      </c>
      <c r="C32">
        <f t="shared" si="2"/>
        <v>3.072993953788461</v>
      </c>
      <c r="D32">
        <f t="shared" si="3"/>
        <v>-1.8704545517001216</v>
      </c>
      <c r="E32">
        <f t="shared" si="4"/>
        <v>7.5144343754533143</v>
      </c>
      <c r="F32">
        <f t="shared" si="4"/>
        <v>-3.705695455937474</v>
      </c>
      <c r="G32">
        <f t="shared" si="4"/>
        <v>1.5310253323705958</v>
      </c>
      <c r="H32">
        <f t="shared" si="4"/>
        <v>-0.67443195552977409</v>
      </c>
      <c r="I32">
        <f t="shared" si="4"/>
        <v>0.27339596741594746</v>
      </c>
      <c r="J32">
        <f t="shared" si="4"/>
        <v>-6.5171314849556808E-2</v>
      </c>
      <c r="K32">
        <f t="shared" si="4"/>
        <v>-4.7786112856174623E-2</v>
      </c>
      <c r="L32">
        <f t="shared" si="4"/>
        <v>0.10819083367573482</v>
      </c>
      <c r="M32">
        <f t="shared" si="4"/>
        <v>-0.13728569757341741</v>
      </c>
      <c r="N32">
        <f t="shared" si="4"/>
        <v>0.14677253331938625</v>
      </c>
    </row>
    <row r="33" spans="1:14" x14ac:dyDescent="0.3">
      <c r="A33" s="1">
        <f t="shared" si="6"/>
        <v>-0.14159999999999823</v>
      </c>
      <c r="B33">
        <f t="shared" si="1"/>
        <v>2.9998994937609216</v>
      </c>
      <c r="C33">
        <f t="shared" si="2"/>
        <v>2.9930459473415549</v>
      </c>
      <c r="D33">
        <f t="shared" si="3"/>
        <v>-1.8704545517001216</v>
      </c>
      <c r="E33">
        <f t="shared" si="4"/>
        <v>7.6617506201394363</v>
      </c>
      <c r="F33">
        <f t="shared" si="4"/>
        <v>-4.0181055477441392</v>
      </c>
      <c r="G33">
        <f t="shared" si="4"/>
        <v>1.8633314395177376</v>
      </c>
      <c r="H33">
        <f t="shared" si="4"/>
        <v>-1.0014887250566706</v>
      </c>
      <c r="I33">
        <f t="shared" si="4"/>
        <v>0.58522112380344005</v>
      </c>
      <c r="J33">
        <f t="shared" si="4"/>
        <v>-0.35592726159486421</v>
      </c>
      <c r="K33">
        <f t="shared" si="4"/>
        <v>0.21789317758274013</v>
      </c>
      <c r="L33">
        <f t="shared" si="4"/>
        <v>-0.1295684974384865</v>
      </c>
      <c r="M33">
        <f t="shared" si="4"/>
        <v>7.0642843210196885E-2</v>
      </c>
      <c r="N33">
        <f t="shared" si="4"/>
        <v>-3.0248673377712587E-2</v>
      </c>
    </row>
    <row r="34" spans="1:14" x14ac:dyDescent="0.3">
      <c r="A34" s="1">
        <f t="shared" si="6"/>
        <v>-4.1599999999998222E-2</v>
      </c>
      <c r="B34">
        <f t="shared" si="1"/>
        <v>2.9999992512905216</v>
      </c>
      <c r="C34">
        <f t="shared" si="2"/>
        <v>2.919919082993685</v>
      </c>
      <c r="D34">
        <f t="shared" si="3"/>
        <v>-1.8704545517001216</v>
      </c>
      <c r="E34">
        <f t="shared" si="4"/>
        <v>7.732513185267158</v>
      </c>
      <c r="F34">
        <f t="shared" si="4"/>
        <v>-4.1703264512275391</v>
      </c>
      <c r="G34">
        <f t="shared" si="4"/>
        <v>2.0291916986418777</v>
      </c>
      <c r="H34">
        <f t="shared" si="4"/>
        <v>-1.1704324456369841</v>
      </c>
      <c r="I34">
        <f t="shared" si="4"/>
        <v>0.75376373878362446</v>
      </c>
      <c r="J34">
        <f t="shared" si="4"/>
        <v>-0.52234757577347346</v>
      </c>
      <c r="K34">
        <f t="shared" si="4"/>
        <v>0.38109390192967546</v>
      </c>
      <c r="L34">
        <f t="shared" si="4"/>
        <v>-0.28873331664658392</v>
      </c>
      <c r="M34">
        <f t="shared" si="4"/>
        <v>0.22511028862629745</v>
      </c>
      <c r="N34">
        <f t="shared" si="4"/>
        <v>-0.17945938927024688</v>
      </c>
    </row>
    <row r="35" spans="1:14" x14ac:dyDescent="0.3">
      <c r="A35" s="1">
        <f t="shared" si="6"/>
        <v>5.8400000000001784E-2</v>
      </c>
      <c r="B35">
        <f t="shared" si="1"/>
        <v>2.9999970920201218</v>
      </c>
      <c r="C35">
        <f t="shared" si="2"/>
        <v>2.9277790345573393</v>
      </c>
      <c r="D35">
        <f t="shared" si="3"/>
        <v>-1.8704545517001216</v>
      </c>
      <c r="E35">
        <f t="shared" si="4"/>
        <v>7.7260150346767169</v>
      </c>
      <c r="F35">
        <f t="shared" si="4"/>
        <v>-4.1562895993266284</v>
      </c>
      <c r="G35">
        <f t="shared" si="4"/>
        <v>2.0137903067689753</v>
      </c>
      <c r="H35">
        <f t="shared" si="4"/>
        <v>-1.154590618526586</v>
      </c>
      <c r="I35">
        <f t="shared" si="4"/>
        <v>0.73775870208015748</v>
      </c>
      <c r="J35">
        <f t="shared" si="4"/>
        <v>-0.50629685370029487</v>
      </c>
      <c r="K35">
        <f t="shared" si="4"/>
        <v>0.36506020944260653</v>
      </c>
      <c r="L35">
        <f t="shared" si="4"/>
        <v>-0.27275638040098277</v>
      </c>
      <c r="M35">
        <f t="shared" si="4"/>
        <v>0.20921875553058886</v>
      </c>
      <c r="N35">
        <f t="shared" si="4"/>
        <v>-0.16367597028709238</v>
      </c>
    </row>
    <row r="36" spans="1:14" x14ac:dyDescent="0.3">
      <c r="A36" s="1">
        <f t="shared" si="6"/>
        <v>0.15840000000000179</v>
      </c>
      <c r="B36">
        <f t="shared" si="1"/>
        <v>2.9998426159497216</v>
      </c>
      <c r="C36">
        <f t="shared" si="2"/>
        <v>3.0086821146634106</v>
      </c>
      <c r="D36">
        <f t="shared" si="3"/>
        <v>-1.8704545517001216</v>
      </c>
      <c r="E36">
        <f t="shared" ref="E36:N61" si="7">(2 * POWER(-1, E$2) * (6 - POWER(PI() * E$2, 2)) / POWER(E$2, 4)) * COS(E$2 * $A36)</f>
        <v>7.6423210957408099</v>
      </c>
      <c r="F36">
        <f t="shared" si="7"/>
        <v>-3.9765545970308498</v>
      </c>
      <c r="G36">
        <f t="shared" si="7"/>
        <v>1.8185030243658218</v>
      </c>
      <c r="H36">
        <f t="shared" si="7"/>
        <v>-0.95646431989602232</v>
      </c>
      <c r="I36">
        <f t="shared" si="7"/>
        <v>0.54112460487321734</v>
      </c>
      <c r="J36">
        <f t="shared" si="7"/>
        <v>-0.31338207437766302</v>
      </c>
      <c r="K36">
        <f t="shared" si="7"/>
        <v>0.17733299623155774</v>
      </c>
      <c r="L36">
        <f t="shared" si="7"/>
        <v>-9.1329083838640787E-2</v>
      </c>
      <c r="M36">
        <f t="shared" si="7"/>
        <v>3.4994639347697004E-2</v>
      </c>
      <c r="N36">
        <f t="shared" si="7"/>
        <v>2.5903809476046113E-3</v>
      </c>
    </row>
    <row r="37" spans="1:14" x14ac:dyDescent="0.3">
      <c r="A37" s="1">
        <f t="shared" si="6"/>
        <v>0.25840000000000179</v>
      </c>
      <c r="B37">
        <f t="shared" si="1"/>
        <v>2.9988854230793214</v>
      </c>
      <c r="C37">
        <f t="shared" si="2"/>
        <v>3.0804404448066967</v>
      </c>
      <c r="D37">
        <f t="shared" si="3"/>
        <v>-1.8704545517001216</v>
      </c>
      <c r="E37">
        <f t="shared" si="7"/>
        <v>7.4822676106317472</v>
      </c>
      <c r="F37">
        <f t="shared" si="7"/>
        <v>-3.6382869116951357</v>
      </c>
      <c r="G37">
        <f t="shared" si="7"/>
        <v>1.460774282754906</v>
      </c>
      <c r="H37">
        <f t="shared" si="7"/>
        <v>-0.60733333589686156</v>
      </c>
      <c r="I37">
        <f t="shared" si="7"/>
        <v>0.21200433201295002</v>
      </c>
      <c r="J37">
        <f t="shared" si="7"/>
        <v>-1.0993920416023243E-2</v>
      </c>
      <c r="K37">
        <f t="shared" si="7"/>
        <v>-9.3796696011693464E-2</v>
      </c>
      <c r="L37">
        <f t="shared" si="7"/>
        <v>0.14549720946316114</v>
      </c>
      <c r="M37">
        <f t="shared" si="7"/>
        <v>-0.16571272222145828</v>
      </c>
      <c r="N37">
        <f t="shared" si="7"/>
        <v>0.16647514788522774</v>
      </c>
    </row>
    <row r="38" spans="1:14" x14ac:dyDescent="0.3">
      <c r="A38" s="1">
        <f t="shared" si="6"/>
        <v>0.35840000000000183</v>
      </c>
      <c r="B38">
        <f t="shared" si="1"/>
        <v>2.9958751134089217</v>
      </c>
      <c r="C38">
        <f t="shared" si="2"/>
        <v>3.0680268481427531</v>
      </c>
      <c r="D38">
        <f t="shared" si="3"/>
        <v>-1.8704545517001216</v>
      </c>
      <c r="E38">
        <f t="shared" si="7"/>
        <v>7.2474537808660893</v>
      </c>
      <c r="F38">
        <f t="shared" si="7"/>
        <v>-3.1549722084684135</v>
      </c>
      <c r="G38">
        <f t="shared" si="7"/>
        <v>0.97255892501827235</v>
      </c>
      <c r="H38">
        <f t="shared" si="7"/>
        <v>-0.16231777220848029</v>
      </c>
      <c r="I38">
        <f t="shared" si="7"/>
        <v>-0.16902199523365391</v>
      </c>
      <c r="J38">
        <f t="shared" si="7"/>
        <v>0.29523472624400982</v>
      </c>
      <c r="K38">
        <f t="shared" si="7"/>
        <v>-0.32081233650684143</v>
      </c>
      <c r="L38">
        <f t="shared" si="7"/>
        <v>0.29406684788718929</v>
      </c>
      <c r="M38">
        <f t="shared" si="7"/>
        <v>-0.24101199935194922</v>
      </c>
      <c r="N38">
        <f t="shared" si="7"/>
        <v>0.17730343159665155</v>
      </c>
    </row>
    <row r="39" spans="1:14" x14ac:dyDescent="0.3">
      <c r="A39" s="1">
        <f t="shared" si="6"/>
        <v>0.45840000000000181</v>
      </c>
      <c r="B39">
        <f t="shared" si="1"/>
        <v>2.9889612869385216</v>
      </c>
      <c r="C39">
        <f t="shared" si="2"/>
        <v>2.9778641548252045</v>
      </c>
      <c r="D39">
        <f t="shared" si="3"/>
        <v>-1.8704545517001216</v>
      </c>
      <c r="E39">
        <f t="shared" si="7"/>
        <v>6.9402257886117242</v>
      </c>
      <c r="F39">
        <f t="shared" si="7"/>
        <v>-2.5458787193805885</v>
      </c>
      <c r="G39">
        <f t="shared" si="7"/>
        <v>0.39746777503455422</v>
      </c>
      <c r="H39">
        <f t="shared" si="7"/>
        <v>0.30832419866750782</v>
      </c>
      <c r="I39">
        <f t="shared" si="7"/>
        <v>-0.50866584319889452</v>
      </c>
      <c r="J39">
        <f t="shared" si="7"/>
        <v>0.49832938907060392</v>
      </c>
      <c r="K39">
        <f t="shared" si="7"/>
        <v>-0.39694492231178641</v>
      </c>
      <c r="L39">
        <f t="shared" si="7"/>
        <v>0.264259482375993</v>
      </c>
      <c r="M39">
        <f t="shared" si="7"/>
        <v>-0.13391820031857082</v>
      </c>
      <c r="N39">
        <f t="shared" si="7"/>
        <v>2.5119757974781862E-2</v>
      </c>
    </row>
    <row r="40" spans="1:14" x14ac:dyDescent="0.3">
      <c r="A40" s="1">
        <f t="shared" si="6"/>
        <v>0.55840000000000178</v>
      </c>
      <c r="B40">
        <f t="shared" si="1"/>
        <v>2.9756935436681213</v>
      </c>
      <c r="C40">
        <f t="shared" si="2"/>
        <v>2.8907740700313873</v>
      </c>
      <c r="D40">
        <f t="shared" si="3"/>
        <v>-1.8704545517001216</v>
      </c>
      <c r="E40">
        <f t="shared" si="7"/>
        <v>6.5636533544111826</v>
      </c>
      <c r="F40">
        <f t="shared" si="7"/>
        <v>-1.8352890797359396</v>
      </c>
      <c r="G40">
        <f t="shared" si="7"/>
        <v>-0.2131279875341183</v>
      </c>
      <c r="H40">
        <f t="shared" si="7"/>
        <v>0.73028855800815595</v>
      </c>
      <c r="I40">
        <f t="shared" si="7"/>
        <v>-0.72377055240757093</v>
      </c>
      <c r="J40">
        <f t="shared" si="7"/>
        <v>0.52734325926829273</v>
      </c>
      <c r="K40">
        <f t="shared" si="7"/>
        <v>-0.28638810871799464</v>
      </c>
      <c r="L40">
        <f t="shared" si="7"/>
        <v>7.4155860872737484E-2</v>
      </c>
      <c r="M40">
        <f t="shared" si="7"/>
        <v>7.452222285016652E-2</v>
      </c>
      <c r="N40">
        <f t="shared" si="7"/>
        <v>-0.15015890528340298</v>
      </c>
    </row>
    <row r="41" spans="1:14" x14ac:dyDescent="0.3">
      <c r="A41" s="1">
        <f t="shared" si="6"/>
        <v>0.65840000000000176</v>
      </c>
      <c r="B41">
        <f t="shared" si="1"/>
        <v>2.9530214835977211</v>
      </c>
      <c r="C41">
        <f t="shared" si="2"/>
        <v>2.8793683234627814</v>
      </c>
      <c r="D41">
        <f t="shared" si="3"/>
        <v>-1.8704545517001216</v>
      </c>
      <c r="E41">
        <f t="shared" si="7"/>
        <v>6.1214990655487016</v>
      </c>
      <c r="F41">
        <f t="shared" si="7"/>
        <v>-1.051532256071819</v>
      </c>
      <c r="G41">
        <f t="shared" si="7"/>
        <v>-0.80468566172505529</v>
      </c>
      <c r="H41">
        <f t="shared" si="7"/>
        <v>1.0369564116283436</v>
      </c>
      <c r="I41">
        <f t="shared" si="7"/>
        <v>-0.76167098800639854</v>
      </c>
      <c r="J41">
        <f t="shared" si="7"/>
        <v>0.37214095724273655</v>
      </c>
      <c r="K41">
        <f t="shared" si="7"/>
        <v>-4.1138492656491665E-2</v>
      </c>
      <c r="L41">
        <f t="shared" si="7"/>
        <v>-0.16092971076109072</v>
      </c>
      <c r="M41">
        <f t="shared" si="7"/>
        <v>0.22656571348127374</v>
      </c>
      <c r="N41">
        <f t="shared" si="7"/>
        <v>-0.18738216351729847</v>
      </c>
    </row>
    <row r="42" spans="1:14" x14ac:dyDescent="0.3">
      <c r="A42" s="1">
        <f t="shared" si="6"/>
        <v>0.75840000000000174</v>
      </c>
      <c r="B42">
        <f t="shared" si="1"/>
        <v>2.9172947067273207</v>
      </c>
      <c r="C42">
        <f t="shared" si="2"/>
        <v>2.9311552513704964</v>
      </c>
      <c r="D42">
        <f t="shared" si="3"/>
        <v>-1.8704545517001216</v>
      </c>
      <c r="E42">
        <f t="shared" si="7"/>
        <v>5.6181807815218185</v>
      </c>
      <c r="F42">
        <f t="shared" si="7"/>
        <v>-0.22585415966003619</v>
      </c>
      <c r="G42">
        <f t="shared" si="7"/>
        <v>-1.32436316231014</v>
      </c>
      <c r="H42">
        <f t="shared" si="7"/>
        <v>1.1799116484559782</v>
      </c>
      <c r="I42">
        <f t="shared" si="7"/>
        <v>-0.61308780153688214</v>
      </c>
      <c r="J42">
        <f t="shared" si="7"/>
        <v>8.6939112289728074E-2</v>
      </c>
      <c r="K42">
        <f t="shared" si="7"/>
        <v>0.22345919930803901</v>
      </c>
      <c r="L42">
        <f t="shared" si="7"/>
        <v>-0.29839747931383875</v>
      </c>
      <c r="M42">
        <f t="shared" si="7"/>
        <v>0.20714878908646353</v>
      </c>
      <c r="N42">
        <f t="shared" si="7"/>
        <v>-5.2327124770511366E-2</v>
      </c>
    </row>
    <row r="43" spans="1:14" x14ac:dyDescent="0.3">
      <c r="A43" s="1">
        <f t="shared" si="6"/>
        <v>0.85840000000000172</v>
      </c>
      <c r="B43">
        <f t="shared" si="1"/>
        <v>2.8642628130569205</v>
      </c>
      <c r="C43">
        <f t="shared" si="2"/>
        <v>2.954816318305693</v>
      </c>
      <c r="D43">
        <f t="shared" si="3"/>
        <v>-1.8704545517001216</v>
      </c>
      <c r="E43">
        <f t="shared" si="7"/>
        <v>5.0587274922496253</v>
      </c>
      <c r="F43">
        <f t="shared" si="7"/>
        <v>0.60882802937337688</v>
      </c>
      <c r="G43">
        <f t="shared" si="7"/>
        <v>-1.7257392458922534</v>
      </c>
      <c r="H43">
        <f t="shared" si="7"/>
        <v>1.1365847798965483</v>
      </c>
      <c r="I43">
        <f t="shared" si="7"/>
        <v>-0.31439933906654838</v>
      </c>
      <c r="J43">
        <f t="shared" si="7"/>
        <v>-0.22863306584004794</v>
      </c>
      <c r="K43">
        <f t="shared" si="7"/>
        <v>0.38296053819169362</v>
      </c>
      <c r="L43">
        <f t="shared" si="7"/>
        <v>-0.2548613410193763</v>
      </c>
      <c r="M43">
        <f t="shared" si="7"/>
        <v>3.0965790941412726E-2</v>
      </c>
      <c r="N43">
        <f t="shared" si="7"/>
        <v>0.13083723117138421</v>
      </c>
    </row>
    <row r="44" spans="1:14" x14ac:dyDescent="0.3">
      <c r="A44" s="1">
        <f t="shared" si="6"/>
        <v>0.95840000000000169</v>
      </c>
      <c r="B44">
        <f t="shared" si="1"/>
        <v>2.7890754025865201</v>
      </c>
      <c r="C44">
        <f t="shared" si="2"/>
        <v>2.8659753370170833</v>
      </c>
      <c r="D44">
        <f t="shared" si="3"/>
        <v>-1.8704545517001216</v>
      </c>
      <c r="E44">
        <f t="shared" si="7"/>
        <v>4.4487290700678601</v>
      </c>
      <c r="F44">
        <f t="shared" si="7"/>
        <v>1.4192381661436211</v>
      </c>
      <c r="G44">
        <f t="shared" si="7"/>
        <v>-1.9729601823238128</v>
      </c>
      <c r="H44">
        <f t="shared" si="7"/>
        <v>0.91381616582415237</v>
      </c>
      <c r="I44">
        <f t="shared" si="7"/>
        <v>6.1265046667559289E-2</v>
      </c>
      <c r="J44">
        <f t="shared" si="7"/>
        <v>-0.46433713625729006</v>
      </c>
      <c r="K44">
        <f t="shared" si="7"/>
        <v>0.36234955204032065</v>
      </c>
      <c r="L44">
        <f t="shared" si="7"/>
        <v>-5.6729733168992137E-2</v>
      </c>
      <c r="M44">
        <f t="shared" si="7"/>
        <v>-0.16865150043732832</v>
      </c>
      <c r="N44">
        <f t="shared" si="7"/>
        <v>0.19371044016111483</v>
      </c>
    </row>
    <row r="45" spans="1:14" x14ac:dyDescent="0.3">
      <c r="A45" s="1">
        <f t="shared" si="6"/>
        <v>1.0584000000000018</v>
      </c>
      <c r="B45">
        <f t="shared" si="1"/>
        <v>2.6862820753161194</v>
      </c>
      <c r="C45">
        <f t="shared" si="2"/>
        <v>2.6688057031330761</v>
      </c>
      <c r="D45">
        <f t="shared" si="3"/>
        <v>-1.8704545517001216</v>
      </c>
      <c r="E45">
        <f t="shared" si="7"/>
        <v>3.7942804175722915</v>
      </c>
      <c r="F45">
        <f t="shared" si="7"/>
        <v>2.1730677558947402</v>
      </c>
      <c r="G45">
        <f t="shared" si="7"/>
        <v>-2.0439424616394404</v>
      </c>
      <c r="H45">
        <f t="shared" si="7"/>
        <v>0.5467760721632493</v>
      </c>
      <c r="I45">
        <f t="shared" si="7"/>
        <v>0.42192961228424819</v>
      </c>
      <c r="J45">
        <f t="shared" si="7"/>
        <v>-0.53783488591657125</v>
      </c>
      <c r="K45">
        <f t="shared" si="7"/>
        <v>0.17131990969645292</v>
      </c>
      <c r="L45">
        <f t="shared" si="7"/>
        <v>0.17581336958275401</v>
      </c>
      <c r="M45">
        <f t="shared" si="7"/>
        <v>-0.24063669861270801</v>
      </c>
      <c r="N45">
        <f t="shared" si="7"/>
        <v>7.8487163808181076E-2</v>
      </c>
    </row>
    <row r="46" spans="1:14" x14ac:dyDescent="0.3">
      <c r="A46" s="1">
        <f t="shared" si="6"/>
        <v>1.1584000000000019</v>
      </c>
      <c r="B46">
        <f t="shared" si="1"/>
        <v>2.5498324312457186</v>
      </c>
      <c r="C46">
        <f t="shared" si="2"/>
        <v>2.4506528662517519</v>
      </c>
      <c r="D46">
        <f t="shared" si="3"/>
        <v>-1.8704545517001216</v>
      </c>
      <c r="E46">
        <f t="shared" si="7"/>
        <v>3.1019205693666936</v>
      </c>
      <c r="F46">
        <f t="shared" si="7"/>
        <v>2.8402639917301884</v>
      </c>
      <c r="G46">
        <f t="shared" si="7"/>
        <v>-1.9323454482309301</v>
      </c>
      <c r="H46">
        <f t="shared" si="7"/>
        <v>9.3412059223198743E-2</v>
      </c>
      <c r="I46">
        <f t="shared" si="7"/>
        <v>0.67929109350408545</v>
      </c>
      <c r="J46">
        <f t="shared" si="7"/>
        <v>-0.42345143631836979</v>
      </c>
      <c r="K46">
        <f t="shared" si="7"/>
        <v>-0.10028416312508837</v>
      </c>
      <c r="L46">
        <f t="shared" si="7"/>
        <v>0.30171044153146709</v>
      </c>
      <c r="M46">
        <f t="shared" si="7"/>
        <v>-0.13051284074147701</v>
      </c>
      <c r="N46">
        <f t="shared" si="7"/>
        <v>-0.10889684898789384</v>
      </c>
    </row>
    <row r="47" spans="1:14" x14ac:dyDescent="0.3">
      <c r="A47" s="1">
        <f t="shared" si="6"/>
        <v>1.258400000000002</v>
      </c>
      <c r="B47">
        <f t="shared" si="1"/>
        <v>2.3730760703753178</v>
      </c>
      <c r="C47">
        <f t="shared" si="2"/>
        <v>2.2907873546628688</v>
      </c>
      <c r="D47">
        <f t="shared" si="3"/>
        <v>-1.8704545517001216</v>
      </c>
      <c r="E47">
        <f t="shared" si="7"/>
        <v>2.3785673561905991</v>
      </c>
      <c r="F47">
        <f t="shared" si="7"/>
        <v>3.39422786518668</v>
      </c>
      <c r="G47">
        <f t="shared" si="7"/>
        <v>-1.6481377709421234</v>
      </c>
      <c r="H47">
        <f t="shared" si="7"/>
        <v>-0.37469966392329779</v>
      </c>
      <c r="I47">
        <f t="shared" si="7"/>
        <v>0.77033842392900731</v>
      </c>
      <c r="J47">
        <f t="shared" si="7"/>
        <v>-0.16114421723984435</v>
      </c>
      <c r="K47">
        <f t="shared" si="7"/>
        <v>-0.32472302704562717</v>
      </c>
      <c r="L47">
        <f t="shared" si="7"/>
        <v>0.24459400820738328</v>
      </c>
      <c r="M47">
        <f t="shared" si="7"/>
        <v>7.838053302826048E-2</v>
      </c>
      <c r="N47">
        <f t="shared" si="7"/>
        <v>-0.19616160102804803</v>
      </c>
    </row>
    <row r="48" spans="1:14" x14ac:dyDescent="0.3">
      <c r="A48" s="1">
        <f t="shared" si="6"/>
        <v>1.3584000000000021</v>
      </c>
      <c r="B48">
        <f t="shared" si="1"/>
        <v>2.1487625927049168</v>
      </c>
      <c r="C48">
        <f t="shared" si="2"/>
        <v>2.171293622417787</v>
      </c>
      <c r="D48">
        <f t="shared" si="3"/>
        <v>-1.8704545517001216</v>
      </c>
      <c r="E48">
        <f t="shared" si="7"/>
        <v>1.6314482842412821</v>
      </c>
      <c r="F48">
        <f t="shared" si="7"/>
        <v>3.812874584763597</v>
      </c>
      <c r="G48">
        <f t="shared" si="7"/>
        <v>-1.2167068551433715</v>
      </c>
      <c r="H48">
        <f t="shared" si="7"/>
        <v>-0.78365454903467779</v>
      </c>
      <c r="I48">
        <f t="shared" si="7"/>
        <v>0.6727800416843347</v>
      </c>
      <c r="J48">
        <f t="shared" si="7"/>
        <v>0.15745531306879768</v>
      </c>
      <c r="K48">
        <f t="shared" si="7"/>
        <v>-0.39643957740934632</v>
      </c>
      <c r="L48">
        <f t="shared" si="7"/>
        <v>3.9110131636931798E-2</v>
      </c>
      <c r="M48">
        <f t="shared" si="7"/>
        <v>0.22795708203894649</v>
      </c>
      <c r="N48">
        <f t="shared" si="7"/>
        <v>-0.10307628172858667</v>
      </c>
    </row>
    <row r="49" spans="1:14" x14ac:dyDescent="0.3">
      <c r="A49" s="1">
        <f t="shared" si="6"/>
        <v>1.4584000000000021</v>
      </c>
      <c r="B49">
        <f t="shared" si="1"/>
        <v>1.869041598234515</v>
      </c>
      <c r="C49">
        <f t="shared" si="2"/>
        <v>1.9811571834306774</v>
      </c>
      <c r="D49">
        <f t="shared" si="3"/>
        <v>-1.8704545517001216</v>
      </c>
      <c r="E49">
        <f t="shared" si="7"/>
        <v>0.86802832032092891</v>
      </c>
      <c r="F49">
        <f t="shared" si="7"/>
        <v>4.0795140268675274</v>
      </c>
      <c r="G49">
        <f t="shared" si="7"/>
        <v>-0.67659113963332651</v>
      </c>
      <c r="H49">
        <f t="shared" si="7"/>
        <v>-1.0688876118542281</v>
      </c>
      <c r="I49">
        <f t="shared" si="7"/>
        <v>0.41050164121109295</v>
      </c>
      <c r="J49">
        <f t="shared" si="7"/>
        <v>0.42105117250470908</v>
      </c>
      <c r="K49">
        <f t="shared" si="7"/>
        <v>-0.2817043999781782</v>
      </c>
      <c r="L49">
        <f t="shared" si="7"/>
        <v>-0.19009742597758089</v>
      </c>
      <c r="M49">
        <f t="shared" si="7"/>
        <v>0.20502025603834473</v>
      </c>
      <c r="N49">
        <f t="shared" si="7"/>
        <v>8.477689563150928E-2</v>
      </c>
    </row>
    <row r="50" spans="1:14" x14ac:dyDescent="0.3">
      <c r="A50" s="1">
        <f t="shared" si="6"/>
        <v>1.5584000000000022</v>
      </c>
      <c r="B50">
        <f t="shared" si="1"/>
        <v>1.5254626869641135</v>
      </c>
      <c r="C50">
        <f t="shared" si="2"/>
        <v>1.616013457211861</v>
      </c>
      <c r="D50">
        <f t="shared" si="3"/>
        <v>-1.8704545517001216</v>
      </c>
      <c r="E50">
        <f t="shared" si="7"/>
        <v>9.5935304355943329E-2</v>
      </c>
      <c r="F50">
        <f t="shared" si="7"/>
        <v>4.1835161183712035</v>
      </c>
      <c r="G50">
        <f t="shared" si="7"/>
        <v>-7.6037552678219836E-2</v>
      </c>
      <c r="H50">
        <f t="shared" si="7"/>
        <v>-1.1853668234689725</v>
      </c>
      <c r="I50">
        <f t="shared" si="7"/>
        <v>4.7718122224131874E-2</v>
      </c>
      <c r="J50">
        <f t="shared" si="7"/>
        <v>0.53756174366643172</v>
      </c>
      <c r="K50">
        <f t="shared" si="7"/>
        <v>-3.4479241484601658E-2</v>
      </c>
      <c r="L50">
        <f t="shared" si="7"/>
        <v>-0.30399443585334507</v>
      </c>
      <c r="M50">
        <f t="shared" si="7"/>
        <v>2.6928187662731178E-2</v>
      </c>
      <c r="N50">
        <f t="shared" si="7"/>
        <v>0.19468658611668088</v>
      </c>
    </row>
    <row r="51" spans="1:14" x14ac:dyDescent="0.3">
      <c r="A51" s="1">
        <f t="shared" si="6"/>
        <v>1.6584000000000023</v>
      </c>
      <c r="B51">
        <f t="shared" si="1"/>
        <v>1.1089754588937109</v>
      </c>
      <c r="C51">
        <f t="shared" si="2"/>
        <v>1.078836720291414</v>
      </c>
      <c r="D51">
        <f t="shared" si="3"/>
        <v>-1.8704545517001216</v>
      </c>
      <c r="E51">
        <f t="shared" si="7"/>
        <v>-0.6771162654581715</v>
      </c>
      <c r="F51">
        <f t="shared" si="7"/>
        <v>4.1207346240839531</v>
      </c>
      <c r="G51">
        <f t="shared" si="7"/>
        <v>0.53130824239870056</v>
      </c>
      <c r="H51">
        <f t="shared" si="7"/>
        <v>-1.11470267751052</v>
      </c>
      <c r="I51">
        <f t="shared" si="7"/>
        <v>-0.32674845731098989</v>
      </c>
      <c r="J51">
        <f t="shared" si="7"/>
        <v>0.46628653201699738</v>
      </c>
      <c r="K51">
        <f t="shared" si="7"/>
        <v>0.22896204303219264</v>
      </c>
      <c r="L51">
        <f t="shared" si="7"/>
        <v>-0.23349250014888284</v>
      </c>
      <c r="M51">
        <f t="shared" si="7"/>
        <v>-0.1715425962811111</v>
      </c>
      <c r="N51">
        <f t="shared" si="7"/>
        <v>0.12560232716936781</v>
      </c>
    </row>
    <row r="52" spans="1:14" x14ac:dyDescent="0.3">
      <c r="A52" s="1">
        <f t="shared" si="6"/>
        <v>1.7584000000000024</v>
      </c>
      <c r="B52">
        <f t="shared" si="1"/>
        <v>0.60992951402330853</v>
      </c>
      <c r="C52">
        <f t="shared" si="2"/>
        <v>0.47807460412555924</v>
      </c>
      <c r="D52">
        <f t="shared" si="3"/>
        <v>-1.8704545517001216</v>
      </c>
      <c r="E52">
        <f t="shared" si="7"/>
        <v>-1.4434023133727074</v>
      </c>
      <c r="F52">
        <f t="shared" si="7"/>
        <v>3.893672444064546</v>
      </c>
      <c r="G52">
        <f t="shared" si="7"/>
        <v>1.0911938545515603</v>
      </c>
      <c r="H52">
        <f t="shared" si="7"/>
        <v>-0.86805148886206129</v>
      </c>
      <c r="I52">
        <f t="shared" si="7"/>
        <v>-0.62121561874554232</v>
      </c>
      <c r="J52">
        <f t="shared" si="7"/>
        <v>0.2321240195862681</v>
      </c>
      <c r="K52">
        <f t="shared" si="7"/>
        <v>0.38471890108033613</v>
      </c>
      <c r="L52">
        <f t="shared" si="7"/>
        <v>-2.1357147018596069E-2</v>
      </c>
      <c r="M52">
        <f t="shared" si="7"/>
        <v>-0.24019336332546881</v>
      </c>
      <c r="N52">
        <f t="shared" si="7"/>
        <v>-5.8960132132653081E-2</v>
      </c>
    </row>
    <row r="53" spans="1:14" x14ac:dyDescent="0.3">
      <c r="A53" s="1">
        <f t="shared" si="6"/>
        <v>1.8584000000000025</v>
      </c>
      <c r="B53">
        <f t="shared" si="1"/>
        <v>1.8074452352905723E-2</v>
      </c>
      <c r="C53">
        <f t="shared" si="2"/>
        <v>-8.4916278845593052E-2</v>
      </c>
      <c r="D53">
        <f t="shared" si="3"/>
        <v>-1.8704545517001216</v>
      </c>
      <c r="E53">
        <f t="shared" si="7"/>
        <v>-2.1952663624973923</v>
      </c>
      <c r="F53">
        <f t="shared" si="7"/>
        <v>3.5113818308942131</v>
      </c>
      <c r="G53">
        <f t="shared" si="7"/>
        <v>1.5536063695267504</v>
      </c>
      <c r="H53">
        <f t="shared" si="7"/>
        <v>-0.48435405684342869</v>
      </c>
      <c r="I53">
        <f t="shared" si="7"/>
        <v>-0.76358753105906241</v>
      </c>
      <c r="J53">
        <f t="shared" si="7"/>
        <v>-8.3126091135920593E-2</v>
      </c>
      <c r="K53">
        <f t="shared" si="7"/>
        <v>0.35953644855174516</v>
      </c>
      <c r="L53">
        <f t="shared" si="7"/>
        <v>0.20373316490814347</v>
      </c>
      <c r="M53">
        <f t="shared" si="7"/>
        <v>-0.12707058163002646</v>
      </c>
      <c r="N53">
        <f t="shared" si="7"/>
        <v>-0.18931491786049312</v>
      </c>
    </row>
    <row r="54" spans="1:14" x14ac:dyDescent="0.3">
      <c r="A54" s="1">
        <f t="shared" si="6"/>
        <v>1.9584000000000026</v>
      </c>
      <c r="B54">
        <f t="shared" si="1"/>
        <v>-0.67744012611749804</v>
      </c>
      <c r="C54">
        <f t="shared" si="2"/>
        <v>-0.63473714772692857</v>
      </c>
      <c r="D54">
        <f t="shared" si="3"/>
        <v>-1.8704545517001216</v>
      </c>
      <c r="E54">
        <f t="shared" si="7"/>
        <v>-2.9251960357865845</v>
      </c>
      <c r="F54">
        <f t="shared" si="7"/>
        <v>2.9891035049322632</v>
      </c>
      <c r="G54">
        <f t="shared" si="7"/>
        <v>1.8772398545421674</v>
      </c>
      <c r="H54">
        <f t="shared" si="7"/>
        <v>-2.4187769229015287E-2</v>
      </c>
      <c r="I54">
        <f t="shared" si="7"/>
        <v>-0.71900658472317058</v>
      </c>
      <c r="J54">
        <f t="shared" si="7"/>
        <v>-0.36933786667167323</v>
      </c>
      <c r="K54">
        <f t="shared" si="7"/>
        <v>0.16525838635729098</v>
      </c>
      <c r="L54">
        <f t="shared" si="7"/>
        <v>0.30524167283466791</v>
      </c>
      <c r="M54">
        <f t="shared" si="7"/>
        <v>8.2216682895118007E-2</v>
      </c>
      <c r="N54">
        <f t="shared" si="7"/>
        <v>-0.14561444117787073</v>
      </c>
    </row>
    <row r="55" spans="1:14" x14ac:dyDescent="0.3">
      <c r="A55" s="1">
        <f t="shared" si="6"/>
        <v>2.0584000000000024</v>
      </c>
      <c r="B55">
        <f t="shared" si="1"/>
        <v>-1.4880646213879007</v>
      </c>
      <c r="C55">
        <f t="shared" si="2"/>
        <v>-1.324529651266207</v>
      </c>
      <c r="D55">
        <f t="shared" si="3"/>
        <v>-1.8704545517001216</v>
      </c>
      <c r="E55">
        <f t="shared" si="7"/>
        <v>-3.6258981172274471</v>
      </c>
      <c r="F55">
        <f t="shared" si="7"/>
        <v>2.3476590548902361</v>
      </c>
      <c r="G55">
        <f t="shared" si="7"/>
        <v>2.0331850942432048</v>
      </c>
      <c r="H55">
        <f t="shared" si="7"/>
        <v>0.4397972353058493</v>
      </c>
      <c r="I55">
        <f t="shared" si="7"/>
        <v>-0.49838775021575238</v>
      </c>
      <c r="J55">
        <f t="shared" si="7"/>
        <v>-0.52652929946186799</v>
      </c>
      <c r="K55">
        <f t="shared" si="7"/>
        <v>-0.10674327717451371</v>
      </c>
      <c r="L55">
        <f t="shared" si="7"/>
        <v>0.22159467796438767</v>
      </c>
      <c r="M55">
        <f t="shared" si="7"/>
        <v>0.22928400092153309</v>
      </c>
      <c r="N55">
        <f t="shared" si="7"/>
        <v>3.1963281188284828E-2</v>
      </c>
    </row>
    <row r="56" spans="1:14" x14ac:dyDescent="0.3">
      <c r="A56" s="1">
        <f t="shared" si="6"/>
        <v>2.1584000000000025</v>
      </c>
      <c r="B56">
        <f t="shared" si="1"/>
        <v>-2.4258494334583034</v>
      </c>
      <c r="C56">
        <f t="shared" si="2"/>
        <v>-2.3039030650404984</v>
      </c>
      <c r="D56">
        <f t="shared" si="3"/>
        <v>-1.8704545517001216</v>
      </c>
      <c r="E56">
        <f t="shared" si="7"/>
        <v>-4.2903714232435393</v>
      </c>
      <c r="F56">
        <f t="shared" si="7"/>
        <v>1.6126208467962904</v>
      </c>
      <c r="G56">
        <f t="shared" si="7"/>
        <v>2.0075119648114681</v>
      </c>
      <c r="H56">
        <f t="shared" si="7"/>
        <v>0.83434792665006885</v>
      </c>
      <c r="I56">
        <f t="shared" si="7"/>
        <v>-0.15574621257506768</v>
      </c>
      <c r="J56">
        <f t="shared" si="7"/>
        <v>-0.49978889960697248</v>
      </c>
      <c r="K56">
        <f t="shared" si="7"/>
        <v>-0.32854190954143042</v>
      </c>
      <c r="L56">
        <f t="shared" si="7"/>
        <v>3.5313249521586156E-3</v>
      </c>
      <c r="M56">
        <f t="shared" si="7"/>
        <v>0.2028337581804924</v>
      </c>
      <c r="N56">
        <f t="shared" si="7"/>
        <v>0.18015411023615477</v>
      </c>
    </row>
    <row r="57" spans="1:14" x14ac:dyDescent="0.3">
      <c r="A57" s="1">
        <f t="shared" si="6"/>
        <v>2.2584000000000026</v>
      </c>
      <c r="B57">
        <f t="shared" si="1"/>
        <v>-3.5034449623287083</v>
      </c>
      <c r="C57">
        <f t="shared" si="2"/>
        <v>-3.5697831837691969</v>
      </c>
      <c r="D57">
        <f t="shared" si="3"/>
        <v>-1.8704545517001216</v>
      </c>
      <c r="E57">
        <f t="shared" si="7"/>
        <v>-4.9119767562068199</v>
      </c>
      <c r="F57">
        <f t="shared" si="7"/>
        <v>0.81329253445993488</v>
      </c>
      <c r="G57">
        <f t="shared" si="7"/>
        <v>1.8025137704380649</v>
      </c>
      <c r="H57">
        <f t="shared" si="7"/>
        <v>1.0971734260232677</v>
      </c>
      <c r="I57">
        <f t="shared" si="7"/>
        <v>0.2250274297430514</v>
      </c>
      <c r="J57">
        <f t="shared" si="7"/>
        <v>-0.2984578581024363</v>
      </c>
      <c r="K57">
        <f t="shared" si="7"/>
        <v>-0.39582214824206619</v>
      </c>
      <c r="L57">
        <f t="shared" si="7"/>
        <v>-0.21667408239027974</v>
      </c>
      <c r="M57">
        <f t="shared" si="7"/>
        <v>2.2882971052058106E-2</v>
      </c>
      <c r="N57">
        <f t="shared" si="7"/>
        <v>0.16271208115615007</v>
      </c>
    </row>
    <row r="58" spans="1:14" x14ac:dyDescent="0.3">
      <c r="A58" s="1">
        <f t="shared" si="6"/>
        <v>2.3584000000000027</v>
      </c>
      <c r="B58">
        <f t="shared" si="1"/>
        <v>-4.7341016079991141</v>
      </c>
      <c r="C58">
        <f t="shared" si="2"/>
        <v>-4.9533964349727722</v>
      </c>
      <c r="D58">
        <f t="shared" si="3"/>
        <v>-1.8704545517001216</v>
      </c>
      <c r="E58">
        <f t="shared" si="7"/>
        <v>-5.4845032411057231</v>
      </c>
      <c r="F58">
        <f t="shared" si="7"/>
        <v>-1.8459184732333583E-2</v>
      </c>
      <c r="G58">
        <f t="shared" si="7"/>
        <v>1.4365023892902515</v>
      </c>
      <c r="H58">
        <f t="shared" si="7"/>
        <v>1.1867793660830146</v>
      </c>
      <c r="I58">
        <f t="shared" si="7"/>
        <v>0.55070650915409447</v>
      </c>
      <c r="J58">
        <f t="shared" si="7"/>
        <v>7.1330999237728537E-3</v>
      </c>
      <c r="K58">
        <f t="shared" si="7"/>
        <v>-0.27694104573278344</v>
      </c>
      <c r="L58">
        <f t="shared" si="7"/>
        <v>-0.30544789883805523</v>
      </c>
      <c r="M58">
        <f t="shared" si="7"/>
        <v>-0.17438519236127623</v>
      </c>
      <c r="N58">
        <f t="shared" si="7"/>
        <v>-4.3266849536119202E-3</v>
      </c>
    </row>
    <row r="59" spans="1:14" x14ac:dyDescent="0.3">
      <c r="A59" s="1">
        <f t="shared" si="6"/>
        <v>2.4584000000000028</v>
      </c>
      <c r="B59">
        <f t="shared" si="1"/>
        <v>-6.1316697704695198</v>
      </c>
      <c r="C59">
        <f t="shared" si="2"/>
        <v>-6.2830037684833524</v>
      </c>
      <c r="D59">
        <f t="shared" si="3"/>
        <v>-1.8704545517001216</v>
      </c>
      <c r="E59">
        <f t="shared" si="7"/>
        <v>-6.0022303825552328</v>
      </c>
      <c r="F59">
        <f t="shared" si="7"/>
        <v>-0.84947499448064978</v>
      </c>
      <c r="G59">
        <f t="shared" si="7"/>
        <v>0.94217252797212037</v>
      </c>
      <c r="H59">
        <f t="shared" si="7"/>
        <v>1.0890189391498026</v>
      </c>
      <c r="I59">
        <f t="shared" si="7"/>
        <v>0.74155342856325568</v>
      </c>
      <c r="J59">
        <f t="shared" si="7"/>
        <v>0.31023226092603556</v>
      </c>
      <c r="K59">
        <f t="shared" si="7"/>
        <v>-2.7810242092165278E-2</v>
      </c>
      <c r="L59">
        <f t="shared" si="7"/>
        <v>-0.20894111856265457</v>
      </c>
      <c r="M59">
        <f t="shared" si="7"/>
        <v>-0.23968211883319079</v>
      </c>
      <c r="N59">
        <f t="shared" si="7"/>
        <v>-0.1673875168705527</v>
      </c>
    </row>
    <row r="60" spans="1:14" x14ac:dyDescent="0.3">
      <c r="A60" s="1">
        <f t="shared" si="6"/>
        <v>2.5584000000000029</v>
      </c>
      <c r="B60">
        <f t="shared" si="1"/>
        <v>-7.7105998497399266</v>
      </c>
      <c r="C60">
        <f t="shared" si="2"/>
        <v>-7.5896952894643901</v>
      </c>
      <c r="D60">
        <f t="shared" si="3"/>
        <v>-1.8704545517001216</v>
      </c>
      <c r="E60">
        <f t="shared" si="7"/>
        <v>-6.4599852220958276</v>
      </c>
      <c r="F60">
        <f t="shared" si="7"/>
        <v>-1.6466249168723825</v>
      </c>
      <c r="G60">
        <f t="shared" si="7"/>
        <v>0.36368120075671267</v>
      </c>
      <c r="H60">
        <f t="shared" si="7"/>
        <v>0.8193263670795542</v>
      </c>
      <c r="I60">
        <f t="shared" si="7"/>
        <v>0.75084220608016838</v>
      </c>
      <c r="J60">
        <f t="shared" si="7"/>
        <v>0.50495836774864533</v>
      </c>
      <c r="K60">
        <f t="shared" si="7"/>
        <v>0.23440015295141889</v>
      </c>
      <c r="L60">
        <f t="shared" si="7"/>
        <v>1.4306540515849404E-2</v>
      </c>
      <c r="M60">
        <f t="shared" si="7"/>
        <v>-0.1235923962046144</v>
      </c>
      <c r="N60">
        <f t="shared" si="7"/>
        <v>-0.17655303772379161</v>
      </c>
    </row>
    <row r="61" spans="1:14" x14ac:dyDescent="0.3">
      <c r="A61" s="1">
        <f t="shared" si="6"/>
        <v>2.658400000000003</v>
      </c>
      <c r="B61">
        <f t="shared" si="1"/>
        <v>-9.4859422458103335</v>
      </c>
      <c r="C61">
        <f t="shared" si="2"/>
        <v>-9.1513299549339919</v>
      </c>
      <c r="D61">
        <f t="shared" si="3"/>
        <v>-1.8704545517001216</v>
      </c>
      <c r="E61">
        <f t="shared" si="7"/>
        <v>-6.8531940246844485</v>
      </c>
      <c r="F61">
        <f t="shared" si="7"/>
        <v>-2.3781291000538198</v>
      </c>
      <c r="G61">
        <f t="shared" si="7"/>
        <v>-0.24729668498831353</v>
      </c>
      <c r="H61">
        <f t="shared" si="7"/>
        <v>0.42028017700033105</v>
      </c>
      <c r="I61">
        <f t="shared" si="7"/>
        <v>0.57629862501125018</v>
      </c>
      <c r="J61">
        <f t="shared" ref="F61:N66" si="8">(2 * POWER(-1, J$2) * (6 - POWER(PI() * J$2, 2)) / POWER(J$2, 4)) * COS(J$2 * $A61)</f>
        <v>0.52328798897319517</v>
      </c>
      <c r="K61">
        <f t="shared" si="8"/>
        <v>0.38636849345852775</v>
      </c>
      <c r="L61">
        <f t="shared" si="8"/>
        <v>0.22887604409253326</v>
      </c>
      <c r="M61">
        <f t="shared" si="8"/>
        <v>8.6029587866699786E-2</v>
      </c>
      <c r="N61">
        <f t="shared" si="8"/>
        <v>-2.3396509909825131E-2</v>
      </c>
    </row>
    <row r="62" spans="1:14" x14ac:dyDescent="0.3">
      <c r="A62" s="1">
        <f t="shared" si="6"/>
        <v>2.7584000000000031</v>
      </c>
      <c r="B62">
        <f t="shared" si="1"/>
        <v>-11.473347358680742</v>
      </c>
      <c r="C62">
        <f t="shared" si="2"/>
        <v>-11.281984653529374</v>
      </c>
      <c r="D62">
        <f t="shared" si="3"/>
        <v>-1.8704545517001216</v>
      </c>
      <c r="E62">
        <f t="shared" ref="E62:E66" si="9">(2 * POWER(-1, E$2) * (6 - POWER(PI() * E$2, 2)) / POWER(E$2, 4)) * COS(E$2 * $A62)</f>
        <v>-7.1779279779431793</v>
      </c>
      <c r="F62">
        <f t="shared" si="8"/>
        <v>-3.014824780636455</v>
      </c>
      <c r="G62">
        <f t="shared" si="8"/>
        <v>-0.83618429437498554</v>
      </c>
      <c r="H62">
        <f t="shared" si="8"/>
        <v>-4.5119011904287604E-2</v>
      </c>
      <c r="I62">
        <f t="shared" si="8"/>
        <v>0.26065704142237617</v>
      </c>
      <c r="J62">
        <f t="shared" si="8"/>
        <v>0.35881806055943688</v>
      </c>
      <c r="K62">
        <f t="shared" si="8"/>
        <v>0.35662169431784668</v>
      </c>
      <c r="L62">
        <f t="shared" si="8"/>
        <v>0.30461241054036153</v>
      </c>
      <c r="M62">
        <f t="shared" si="8"/>
        <v>0.23054609497292905</v>
      </c>
      <c r="N62">
        <f t="shared" si="8"/>
        <v>0.15127066121670071</v>
      </c>
    </row>
    <row r="63" spans="1:14" x14ac:dyDescent="0.3">
      <c r="A63" s="1">
        <f t="shared" si="6"/>
        <v>2.8584000000000032</v>
      </c>
      <c r="B63">
        <f t="shared" si="1"/>
        <v>-13.689065588351156</v>
      </c>
      <c r="C63">
        <f t="shared" si="2"/>
        <v>-13.99412336466073</v>
      </c>
      <c r="D63">
        <f t="shared" si="3"/>
        <v>-1.8704545517001216</v>
      </c>
      <c r="E63">
        <f t="shared" si="9"/>
        <v>-7.4309424475538322</v>
      </c>
      <c r="F63">
        <f t="shared" si="8"/>
        <v>-3.5313289110448656</v>
      </c>
      <c r="G63">
        <f t="shared" si="8"/>
        <v>-1.3503780511120296</v>
      </c>
      <c r="H63">
        <f t="shared" si="8"/>
        <v>-0.50339490090631323</v>
      </c>
      <c r="I63">
        <f t="shared" si="8"/>
        <v>-0.11880247663882244</v>
      </c>
      <c r="J63">
        <f t="shared" si="8"/>
        <v>6.9002660331846016E-2</v>
      </c>
      <c r="K63">
        <f t="shared" si="8"/>
        <v>0.15915013997179642</v>
      </c>
      <c r="L63">
        <f t="shared" si="8"/>
        <v>0.19557497625523262</v>
      </c>
      <c r="M63">
        <f t="shared" si="8"/>
        <v>0.2005899136953963</v>
      </c>
      <c r="N63">
        <f t="shared" si="8"/>
        <v>0.18686028404098826</v>
      </c>
    </row>
    <row r="64" spans="1:14" x14ac:dyDescent="0.3">
      <c r="A64" s="1">
        <f t="shared" si="6"/>
        <v>2.9584000000000032</v>
      </c>
      <c r="B64">
        <f t="shared" si="1"/>
        <v>-16.149947334821562</v>
      </c>
      <c r="C64">
        <f t="shared" si="2"/>
        <v>-16.803233889201532</v>
      </c>
      <c r="D64">
        <f t="shared" si="3"/>
        <v>-1.8704545517001216</v>
      </c>
      <c r="E64">
        <f t="shared" si="9"/>
        <v>-7.6097093965715219</v>
      </c>
      <c r="F64">
        <f t="shared" si="8"/>
        <v>-3.9070501015227039</v>
      </c>
      <c r="G64">
        <f t="shared" si="8"/>
        <v>-1.7439465583083031</v>
      </c>
      <c r="H64">
        <f t="shared" si="8"/>
        <v>-0.88219580370521777</v>
      </c>
      <c r="I64">
        <f t="shared" si="8"/>
        <v>-0.469175005037614</v>
      </c>
      <c r="J64">
        <f t="shared" si="8"/>
        <v>-0.24491735436866136</v>
      </c>
      <c r="K64">
        <f t="shared" si="8"/>
        <v>-0.113172211992524</v>
      </c>
      <c r="L64">
        <f t="shared" si="8"/>
        <v>-3.2095614265495474E-2</v>
      </c>
      <c r="M64">
        <f t="shared" si="8"/>
        <v>1.8831284802291501E-2</v>
      </c>
      <c r="N64">
        <f t="shared" si="8"/>
        <v>5.0651423468342303E-2</v>
      </c>
    </row>
    <row r="65" spans="1:14" x14ac:dyDescent="0.3">
      <c r="A65" s="1">
        <f t="shared" si="6"/>
        <v>3.0584000000000033</v>
      </c>
      <c r="B65">
        <f t="shared" si="1"/>
        <v>-18.873442998091974</v>
      </c>
      <c r="C65">
        <f t="shared" si="2"/>
        <v>-18.873185397903306</v>
      </c>
      <c r="D65">
        <f t="shared" si="3"/>
        <v>-1.8704545517001216</v>
      </c>
      <c r="E65">
        <f t="shared" si="9"/>
        <v>-7.7124426447341605</v>
      </c>
      <c r="F65">
        <f t="shared" si="8"/>
        <v>-4.127009533862398</v>
      </c>
      <c r="G65">
        <f t="shared" si="8"/>
        <v>-1.9817335133618461</v>
      </c>
      <c r="H65">
        <f t="shared" si="8"/>
        <v>-1.1217173868254904</v>
      </c>
      <c r="I65">
        <f t="shared" si="8"/>
        <v>-0.7046771291528533</v>
      </c>
      <c r="J65">
        <f t="shared" si="8"/>
        <v>-0.47328069087166702</v>
      </c>
      <c r="K65">
        <f t="shared" si="8"/>
        <v>-0.33226790429216907</v>
      </c>
      <c r="L65">
        <f t="shared" si="8"/>
        <v>-0.24029743585401114</v>
      </c>
      <c r="M65">
        <f t="shared" si="8"/>
        <v>-0.17717848499849925</v>
      </c>
      <c r="N65">
        <f t="shared" si="8"/>
        <v>-0.13212612225009035</v>
      </c>
    </row>
    <row r="66" spans="1:14" x14ac:dyDescent="0.3">
      <c r="A66" s="1">
        <f t="shared" si="6"/>
        <v>3.1584000000000034</v>
      </c>
      <c r="B66">
        <f t="shared" si="1"/>
        <v>-21.87760297816239</v>
      </c>
      <c r="C66">
        <f t="shared" si="2"/>
        <v>-19.451975639511609</v>
      </c>
      <c r="D66">
        <f t="shared" si="3"/>
        <v>-1.8704545517001216</v>
      </c>
      <c r="E66">
        <f t="shared" si="9"/>
        <v>-7.7381157153852023</v>
      </c>
      <c r="F66">
        <f t="shared" si="8"/>
        <v>-4.1824381196186931</v>
      </c>
      <c r="G66">
        <f t="shared" si="8"/>
        <v>-2.042498115767013</v>
      </c>
      <c r="H66">
        <f t="shared" si="8"/>
        <v>-1.1841444588943919</v>
      </c>
      <c r="I66">
        <f t="shared" si="8"/>
        <v>-0.7676497155774139</v>
      </c>
      <c r="J66">
        <f t="shared" si="8"/>
        <v>-0.53631346568222749</v>
      </c>
      <c r="K66">
        <f t="shared" si="8"/>
        <v>-0.39509280937398622</v>
      </c>
      <c r="L66">
        <f t="shared" si="8"/>
        <v>-0.30273805733132364</v>
      </c>
      <c r="M66">
        <f t="shared" si="8"/>
        <v>-0.23910310967861478</v>
      </c>
      <c r="N66">
        <f t="shared" si="8"/>
        <v>-0.19342752050262124</v>
      </c>
    </row>
    <row r="67" spans="1:14" x14ac:dyDescent="0.3">
      <c r="A67" s="1"/>
    </row>
    <row r="68" spans="1:14" x14ac:dyDescent="0.3">
      <c r="A68" s="1"/>
    </row>
    <row r="69" spans="1:14" x14ac:dyDescent="0.3">
      <c r="A69" s="1"/>
    </row>
    <row r="70" spans="1:14" x14ac:dyDescent="0.3">
      <c r="A70" s="1"/>
    </row>
    <row r="92" spans="10:10" x14ac:dyDescent="0.3">
      <c r="J92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Lino Ehecatl Romero Rosales</dc:creator>
  <cp:lastModifiedBy>lino romero</cp:lastModifiedBy>
  <dcterms:created xsi:type="dcterms:W3CDTF">2026-09-02T02:35:23Z</dcterms:created>
  <dcterms:modified xsi:type="dcterms:W3CDTF">2026-09-18T21:37:26Z</dcterms:modified>
</cp:coreProperties>
</file>