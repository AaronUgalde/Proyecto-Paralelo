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carbot/Desktop/2027:1/escom/paralelo/p1/"/>
    </mc:Choice>
  </mc:AlternateContent>
  <xr:revisionPtr revIDLastSave="0" documentId="13_ncr:1_{8847109D-26DB-3A4F-99AE-0C1529705D9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erie_Fourier_Said_Carb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5" i="1" a="1"/>
  <c r="A6" i="1" a="1"/>
  <c r="A7" i="1" a="1"/>
  <c r="A8" i="1" a="1"/>
  <c r="A9" i="1" a="1"/>
  <c r="A10" i="1" a="1"/>
  <c r="A11" i="1" a="1"/>
  <c r="A12" i="1" a="1"/>
  <c r="A13" i="1" a="1"/>
  <c r="A14" i="1" a="1"/>
  <c r="A15" i="1" a="1"/>
  <c r="A16" i="1" a="1"/>
  <c r="A17" i="1" a="1"/>
  <c r="A18" i="1" a="1"/>
  <c r="A19" i="1" a="1"/>
  <c r="A20" i="1" a="1"/>
  <c r="A21" i="1" a="1"/>
  <c r="A22" i="1" a="1"/>
  <c r="A23" i="1" a="1"/>
  <c r="A24" i="1" a="1"/>
  <c r="A25" i="1" a="1"/>
  <c r="A26" i="1" a="1"/>
  <c r="A27" i="1" a="1"/>
  <c r="A28" i="1" a="1"/>
  <c r="A29" i="1" a="1"/>
  <c r="A30" i="1" a="1"/>
  <c r="A31" i="1" a="1"/>
  <c r="A32" i="1" a="1"/>
  <c r="A33" i="1" a="1"/>
  <c r="A34" i="1" a="1"/>
  <c r="A35" i="1" a="1"/>
  <c r="A36" i="1" a="1"/>
  <c r="A37" i="1" a="1"/>
  <c r="A38" i="1" a="1"/>
  <c r="A39" i="1" a="1"/>
  <c r="A40" i="1" a="1"/>
  <c r="A41" i="1" a="1"/>
  <c r="A42" i="1" a="1"/>
  <c r="A43" i="1" a="1"/>
  <c r="A44" i="1" a="1"/>
  <c r="A45" i="1" a="1"/>
  <c r="A46" i="1" a="1"/>
  <c r="A47" i="1" a="1"/>
  <c r="A48" i="1" a="1"/>
  <c r="A49" i="1" a="1"/>
  <c r="A50" i="1" a="1"/>
  <c r="A51" i="1" a="1"/>
  <c r="A52" i="1" a="1"/>
  <c r="A53" i="1" a="1"/>
  <c r="A54" i="1" a="1"/>
  <c r="A55" i="1" a="1"/>
  <c r="A56" i="1" a="1"/>
  <c r="A57" i="1" a="1"/>
  <c r="A58" i="1" a="1"/>
  <c r="A59" i="1" a="1"/>
  <c r="A60" i="1" a="1"/>
  <c r="A61" i="1" a="1"/>
  <c r="A62" i="1" a="1"/>
  <c r="A63" i="1" a="1"/>
  <c r="A64" i="1" a="1"/>
  <c r="A65" i="1" a="1"/>
  <c r="A66" i="1" a="1"/>
  <c r="A67" i="1" a="1"/>
  <c r="A68" i="1" a="1"/>
  <c r="A69" i="1" a="1"/>
  <c r="A70" i="1" a="1"/>
  <c r="A71" i="1" a="1"/>
  <c r="A72" i="1" a="1"/>
  <c r="A73" i="1" a="1"/>
  <c r="A74" i="1" a="1"/>
  <c r="A75" i="1" a="1"/>
  <c r="A76" i="1" a="1"/>
  <c r="A77" i="1" a="1"/>
  <c r="A78" i="1" a="1"/>
  <c r="A79" i="1" a="1"/>
  <c r="A80" i="1" a="1"/>
  <c r="A81" i="1" a="1"/>
  <c r="A82" i="1" a="1"/>
  <c r="A83" i="1" a="1"/>
  <c r="A84" i="1" a="1"/>
  <c r="A85" i="1" a="1"/>
  <c r="A86" i="1" a="1"/>
  <c r="A87" i="1" a="1"/>
  <c r="A88" i="1" a="1"/>
  <c r="A89" i="1" a="1"/>
  <c r="A90" i="1" a="1"/>
  <c r="A91" i="1" a="1"/>
  <c r="A92" i="1" a="1"/>
  <c r="A93" i="1" a="1"/>
  <c r="A94" i="1" a="1"/>
  <c r="A95" i="1" a="1"/>
  <c r="A96" i="1" a="1"/>
  <c r="A97" i="1" a="1"/>
  <c r="A98" i="1" a="1"/>
  <c r="A99" i="1" a="1"/>
  <c r="A100" i="1" a="1"/>
  <c r="A101" i="1" a="1"/>
  <c r="A102" i="1" a="1"/>
  <c r="A103" i="1" a="1"/>
  <c r="A104" i="1" a="1"/>
  <c r="A105" i="1" a="1"/>
  <c r="A106" i="1" a="1"/>
  <c r="A107" i="1" a="1"/>
  <c r="A108" i="1" a="1"/>
  <c r="A109" i="1" a="1"/>
  <c r="A110" i="1" a="1"/>
  <c r="A111" i="1" a="1"/>
  <c r="A112" i="1" a="1"/>
  <c r="A113" i="1" a="1"/>
  <c r="A114" i="1" a="1"/>
  <c r="A115" i="1" a="1"/>
  <c r="A116" i="1" a="1"/>
  <c r="A117" i="1" a="1"/>
  <c r="A118" i="1" a="1"/>
  <c r="A119" i="1" a="1"/>
  <c r="A120" i="1" a="1"/>
  <c r="B120" i="1" s="1"/>
  <c r="A121" i="1" a="1"/>
  <c r="B121" i="1" s="1"/>
  <c r="A122" i="1" a="1"/>
  <c r="B122" i="1" s="1"/>
  <c r="A123" i="1" a="1"/>
  <c r="B123" i="1" s="1"/>
  <c r="A124" i="1" a="1"/>
  <c r="A3" i="1" a="1"/>
  <c r="S2" i="1"/>
  <c r="E113" i="1"/>
  <c r="D113" i="1"/>
  <c r="B113" i="1"/>
  <c r="M112" i="1"/>
  <c r="L112" i="1"/>
  <c r="K112" i="1"/>
  <c r="J112" i="1"/>
  <c r="I112" i="1"/>
  <c r="H112" i="1"/>
  <c r="G112" i="1"/>
  <c r="F112" i="1"/>
  <c r="C112" i="1" s="1"/>
  <c r="E112" i="1"/>
  <c r="D112" i="1"/>
  <c r="B112" i="1"/>
  <c r="M111" i="1"/>
  <c r="L111" i="1"/>
  <c r="K111" i="1"/>
  <c r="J111" i="1"/>
  <c r="I111" i="1"/>
  <c r="H111" i="1"/>
  <c r="G111" i="1"/>
  <c r="F111" i="1"/>
  <c r="E111" i="1"/>
  <c r="D111" i="1"/>
  <c r="C111" i="1" s="1"/>
  <c r="B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M109" i="1"/>
  <c r="L109" i="1"/>
  <c r="K109" i="1"/>
  <c r="J109" i="1"/>
  <c r="I109" i="1"/>
  <c r="H109" i="1"/>
  <c r="G109" i="1"/>
  <c r="F109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M90" i="1"/>
  <c r="B90" i="1"/>
  <c r="M89" i="1"/>
  <c r="L89" i="1"/>
  <c r="B89" i="1"/>
  <c r="M88" i="1"/>
  <c r="L88" i="1"/>
  <c r="K88" i="1"/>
  <c r="J88" i="1"/>
  <c r="B88" i="1"/>
  <c r="M87" i="1"/>
  <c r="L87" i="1"/>
  <c r="K87" i="1"/>
  <c r="J87" i="1"/>
  <c r="I87" i="1"/>
  <c r="H87" i="1"/>
  <c r="G87" i="1"/>
  <c r="F87" i="1"/>
  <c r="E87" i="1"/>
  <c r="D87" i="1"/>
  <c r="C87" i="1"/>
  <c r="B87" i="1"/>
  <c r="M86" i="1"/>
  <c r="L86" i="1"/>
  <c r="C86" i="1" s="1"/>
  <c r="K86" i="1"/>
  <c r="J86" i="1"/>
  <c r="I86" i="1"/>
  <c r="H86" i="1"/>
  <c r="G86" i="1"/>
  <c r="F86" i="1"/>
  <c r="E86" i="1"/>
  <c r="D86" i="1"/>
  <c r="B86" i="1"/>
  <c r="M85" i="1"/>
  <c r="L85" i="1"/>
  <c r="K85" i="1"/>
  <c r="J85" i="1"/>
  <c r="I85" i="1"/>
  <c r="C85" i="1" s="1"/>
  <c r="H85" i="1"/>
  <c r="G85" i="1"/>
  <c r="F85" i="1"/>
  <c r="E85" i="1"/>
  <c r="D85" i="1"/>
  <c r="B85" i="1"/>
  <c r="M84" i="1"/>
  <c r="L84" i="1"/>
  <c r="K84" i="1"/>
  <c r="J84" i="1"/>
  <c r="I84" i="1"/>
  <c r="H84" i="1"/>
  <c r="G84" i="1"/>
  <c r="F84" i="1"/>
  <c r="E84" i="1"/>
  <c r="C84" i="1" s="1"/>
  <c r="D84" i="1"/>
  <c r="B84" i="1"/>
  <c r="M83" i="1"/>
  <c r="L83" i="1"/>
  <c r="K83" i="1"/>
  <c r="J83" i="1"/>
  <c r="I83" i="1"/>
  <c r="H83" i="1"/>
  <c r="G83" i="1"/>
  <c r="F83" i="1"/>
  <c r="E83" i="1"/>
  <c r="D83" i="1"/>
  <c r="C83" i="1"/>
  <c r="B83" i="1"/>
  <c r="M82" i="1"/>
  <c r="L82" i="1"/>
  <c r="K82" i="1"/>
  <c r="J82" i="1"/>
  <c r="I82" i="1"/>
  <c r="H82" i="1"/>
  <c r="G82" i="1"/>
  <c r="F82" i="1"/>
  <c r="E82" i="1"/>
  <c r="D82" i="1"/>
  <c r="C82" i="1" s="1"/>
  <c r="B82" i="1"/>
  <c r="M81" i="1"/>
  <c r="L81" i="1"/>
  <c r="K81" i="1"/>
  <c r="J81" i="1"/>
  <c r="I81" i="1"/>
  <c r="H81" i="1"/>
  <c r="G81" i="1"/>
  <c r="F81" i="1"/>
  <c r="E81" i="1"/>
  <c r="D81" i="1"/>
  <c r="C81" i="1" s="1"/>
  <c r="B81" i="1"/>
  <c r="M80" i="1"/>
  <c r="L80" i="1"/>
  <c r="K80" i="1"/>
  <c r="J80" i="1"/>
  <c r="I80" i="1"/>
  <c r="H80" i="1"/>
  <c r="G80" i="1"/>
  <c r="F80" i="1"/>
  <c r="E80" i="1"/>
  <c r="D80" i="1"/>
  <c r="C80" i="1" s="1"/>
  <c r="B80" i="1"/>
  <c r="M79" i="1"/>
  <c r="L79" i="1"/>
  <c r="K79" i="1"/>
  <c r="J79" i="1"/>
  <c r="I79" i="1"/>
  <c r="H79" i="1"/>
  <c r="G79" i="1"/>
  <c r="F79" i="1"/>
  <c r="E79" i="1"/>
  <c r="D79" i="1"/>
  <c r="B79" i="1"/>
  <c r="M78" i="1"/>
  <c r="L78" i="1"/>
  <c r="K78" i="1"/>
  <c r="J78" i="1"/>
  <c r="I78" i="1"/>
  <c r="H78" i="1"/>
  <c r="G78" i="1"/>
  <c r="F78" i="1"/>
  <c r="E78" i="1"/>
  <c r="D78" i="1"/>
  <c r="B78" i="1"/>
  <c r="M77" i="1"/>
  <c r="L77" i="1"/>
  <c r="K77" i="1"/>
  <c r="J77" i="1"/>
  <c r="I77" i="1"/>
  <c r="H77" i="1"/>
  <c r="G77" i="1"/>
  <c r="F77" i="1"/>
  <c r="E77" i="1"/>
  <c r="D77" i="1"/>
  <c r="C77" i="1" s="1"/>
  <c r="B77" i="1"/>
  <c r="M76" i="1"/>
  <c r="L76" i="1"/>
  <c r="K76" i="1"/>
  <c r="J76" i="1"/>
  <c r="I76" i="1"/>
  <c r="H76" i="1"/>
  <c r="G76" i="1"/>
  <c r="F76" i="1"/>
  <c r="E76" i="1"/>
  <c r="D76" i="1"/>
  <c r="B76" i="1"/>
  <c r="M75" i="1"/>
  <c r="L75" i="1"/>
  <c r="K75" i="1"/>
  <c r="J75" i="1"/>
  <c r="I75" i="1"/>
  <c r="H75" i="1"/>
  <c r="G75" i="1"/>
  <c r="F75" i="1"/>
  <c r="E75" i="1"/>
  <c r="D75" i="1"/>
  <c r="C75" i="1" s="1"/>
  <c r="B75" i="1"/>
  <c r="M74" i="1"/>
  <c r="L74" i="1"/>
  <c r="K74" i="1"/>
  <c r="J74" i="1"/>
  <c r="I74" i="1"/>
  <c r="H74" i="1"/>
  <c r="G74" i="1"/>
  <c r="F74" i="1"/>
  <c r="E74" i="1"/>
  <c r="D74" i="1"/>
  <c r="C74" i="1" s="1"/>
  <c r="B74" i="1"/>
  <c r="M73" i="1"/>
  <c r="L73" i="1"/>
  <c r="K73" i="1"/>
  <c r="J73" i="1"/>
  <c r="I73" i="1"/>
  <c r="H73" i="1"/>
  <c r="G73" i="1"/>
  <c r="F73" i="1"/>
  <c r="E73" i="1"/>
  <c r="D73" i="1"/>
  <c r="C73" i="1" s="1"/>
  <c r="B73" i="1"/>
  <c r="M72" i="1"/>
  <c r="L72" i="1"/>
  <c r="K72" i="1"/>
  <c r="J72" i="1"/>
  <c r="I72" i="1"/>
  <c r="H72" i="1"/>
  <c r="G72" i="1"/>
  <c r="F72" i="1"/>
  <c r="E72" i="1"/>
  <c r="B72" i="1"/>
  <c r="M71" i="1"/>
  <c r="L71" i="1"/>
  <c r="K71" i="1"/>
  <c r="J71" i="1"/>
  <c r="I71" i="1"/>
  <c r="H71" i="1"/>
  <c r="B71" i="1"/>
  <c r="M70" i="1"/>
  <c r="L70" i="1"/>
  <c r="K70" i="1"/>
  <c r="J70" i="1"/>
  <c r="I70" i="1"/>
  <c r="H70" i="1"/>
  <c r="G70" i="1"/>
  <c r="F70" i="1"/>
  <c r="E70" i="1"/>
  <c r="D70" i="1"/>
  <c r="C70" i="1"/>
  <c r="B70" i="1"/>
  <c r="M69" i="1"/>
  <c r="L69" i="1"/>
  <c r="K69" i="1"/>
  <c r="J69" i="1"/>
  <c r="I69" i="1"/>
  <c r="H69" i="1"/>
  <c r="G69" i="1"/>
  <c r="F69" i="1"/>
  <c r="E69" i="1"/>
  <c r="D69" i="1"/>
  <c r="C69" i="1"/>
  <c r="B69" i="1"/>
  <c r="M68" i="1"/>
  <c r="L68" i="1"/>
  <c r="K68" i="1"/>
  <c r="J68" i="1"/>
  <c r="I68" i="1"/>
  <c r="H68" i="1"/>
  <c r="G68" i="1"/>
  <c r="F68" i="1"/>
  <c r="E68" i="1"/>
  <c r="D68" i="1"/>
  <c r="C68" i="1"/>
  <c r="B68" i="1"/>
  <c r="M67" i="1"/>
  <c r="L67" i="1"/>
  <c r="K67" i="1"/>
  <c r="J67" i="1"/>
  <c r="I67" i="1"/>
  <c r="H67" i="1"/>
  <c r="G67" i="1"/>
  <c r="F67" i="1"/>
  <c r="E67" i="1"/>
  <c r="D67" i="1"/>
  <c r="B67" i="1"/>
  <c r="M66" i="1"/>
  <c r="L66" i="1"/>
  <c r="K66" i="1"/>
  <c r="J66" i="1"/>
  <c r="I66" i="1"/>
  <c r="H66" i="1"/>
  <c r="G66" i="1"/>
  <c r="F66" i="1"/>
  <c r="E66" i="1"/>
  <c r="D66" i="1"/>
  <c r="C66" i="1"/>
  <c r="B66" i="1"/>
  <c r="M65" i="1"/>
  <c r="L65" i="1"/>
  <c r="K65" i="1"/>
  <c r="J65" i="1"/>
  <c r="I65" i="1"/>
  <c r="H65" i="1"/>
  <c r="G65" i="1"/>
  <c r="F65" i="1"/>
  <c r="E65" i="1"/>
  <c r="D65" i="1"/>
  <c r="C65" i="1"/>
  <c r="B65" i="1"/>
  <c r="M64" i="1"/>
  <c r="L64" i="1"/>
  <c r="K64" i="1"/>
  <c r="J64" i="1"/>
  <c r="I64" i="1"/>
  <c r="H64" i="1"/>
  <c r="G64" i="1"/>
  <c r="F64" i="1"/>
  <c r="E64" i="1"/>
  <c r="D64" i="1"/>
  <c r="C64" i="1"/>
  <c r="B64" i="1"/>
  <c r="M63" i="1"/>
  <c r="L63" i="1"/>
  <c r="K63" i="1"/>
  <c r="J63" i="1"/>
  <c r="I63" i="1"/>
  <c r="H63" i="1"/>
  <c r="G63" i="1"/>
  <c r="F63" i="1"/>
  <c r="E63" i="1"/>
  <c r="D63" i="1"/>
  <c r="C63" i="1"/>
  <c r="B63" i="1"/>
  <c r="M62" i="1"/>
  <c r="L62" i="1"/>
  <c r="K62" i="1"/>
  <c r="J62" i="1"/>
  <c r="I62" i="1"/>
  <c r="H62" i="1"/>
  <c r="G62" i="1"/>
  <c r="F62" i="1"/>
  <c r="E62" i="1"/>
  <c r="D62" i="1"/>
  <c r="C62" i="1"/>
  <c r="B62" i="1"/>
  <c r="M61" i="1"/>
  <c r="L61" i="1"/>
  <c r="K61" i="1"/>
  <c r="J61" i="1"/>
  <c r="I61" i="1"/>
  <c r="H61" i="1"/>
  <c r="G61" i="1"/>
  <c r="F61" i="1"/>
  <c r="E61" i="1"/>
  <c r="D61" i="1"/>
  <c r="C61" i="1"/>
  <c r="B61" i="1"/>
  <c r="M60" i="1"/>
  <c r="L60" i="1"/>
  <c r="K60" i="1"/>
  <c r="J60" i="1"/>
  <c r="I60" i="1"/>
  <c r="H60" i="1"/>
  <c r="G60" i="1"/>
  <c r="F60" i="1"/>
  <c r="E60" i="1"/>
  <c r="D60" i="1"/>
  <c r="C60" i="1"/>
  <c r="B60" i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57" i="1"/>
  <c r="L57" i="1"/>
  <c r="K57" i="1"/>
  <c r="J57" i="1"/>
  <c r="I57" i="1"/>
  <c r="H57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B53" i="1"/>
  <c r="B52" i="1"/>
  <c r="B51" i="1"/>
  <c r="B50" i="1"/>
  <c r="B49" i="1"/>
  <c r="B48" i="1"/>
  <c r="B47" i="1"/>
  <c r="B46" i="1"/>
  <c r="B45" i="1"/>
  <c r="M44" i="1"/>
  <c r="L44" i="1"/>
  <c r="K44" i="1"/>
  <c r="B44" i="1"/>
  <c r="M43" i="1"/>
  <c r="L43" i="1"/>
  <c r="K43" i="1"/>
  <c r="J43" i="1"/>
  <c r="I43" i="1"/>
  <c r="H43" i="1"/>
  <c r="B43" i="1"/>
  <c r="M42" i="1"/>
  <c r="L42" i="1"/>
  <c r="K42" i="1"/>
  <c r="J42" i="1"/>
  <c r="I42" i="1"/>
  <c r="H42" i="1"/>
  <c r="G42" i="1"/>
  <c r="F42" i="1"/>
  <c r="E42" i="1"/>
  <c r="B42" i="1"/>
  <c r="M41" i="1"/>
  <c r="L41" i="1"/>
  <c r="K41" i="1"/>
  <c r="J41" i="1"/>
  <c r="I41" i="1"/>
  <c r="H41" i="1"/>
  <c r="G41" i="1"/>
  <c r="F41" i="1"/>
  <c r="E41" i="1"/>
  <c r="D41" i="1"/>
  <c r="C41" i="1"/>
  <c r="B41" i="1"/>
  <c r="M40" i="1"/>
  <c r="L40" i="1"/>
  <c r="K40" i="1"/>
  <c r="J40" i="1"/>
  <c r="I40" i="1"/>
  <c r="H40" i="1"/>
  <c r="G40" i="1"/>
  <c r="F40" i="1"/>
  <c r="E40" i="1"/>
  <c r="D40" i="1"/>
  <c r="C40" i="1"/>
  <c r="B40" i="1"/>
  <c r="M39" i="1"/>
  <c r="L39" i="1"/>
  <c r="K39" i="1"/>
  <c r="J39" i="1"/>
  <c r="I39" i="1"/>
  <c r="H39" i="1"/>
  <c r="G39" i="1"/>
  <c r="F39" i="1"/>
  <c r="E39" i="1"/>
  <c r="D39" i="1"/>
  <c r="C39" i="1"/>
  <c r="B39" i="1"/>
  <c r="M38" i="1"/>
  <c r="L38" i="1"/>
  <c r="K38" i="1"/>
  <c r="J38" i="1"/>
  <c r="I38" i="1"/>
  <c r="H38" i="1"/>
  <c r="G38" i="1"/>
  <c r="F38" i="1"/>
  <c r="E38" i="1"/>
  <c r="D38" i="1"/>
  <c r="C38" i="1"/>
  <c r="B38" i="1"/>
  <c r="M37" i="1"/>
  <c r="L37" i="1"/>
  <c r="K37" i="1"/>
  <c r="J37" i="1"/>
  <c r="I37" i="1"/>
  <c r="H37" i="1"/>
  <c r="G37" i="1"/>
  <c r="F37" i="1"/>
  <c r="E37" i="1"/>
  <c r="D37" i="1"/>
  <c r="C37" i="1"/>
  <c r="B37" i="1"/>
  <c r="M36" i="1"/>
  <c r="L36" i="1"/>
  <c r="K36" i="1"/>
  <c r="J36" i="1"/>
  <c r="I36" i="1"/>
  <c r="H36" i="1"/>
  <c r="G36" i="1"/>
  <c r="F36" i="1"/>
  <c r="E36" i="1"/>
  <c r="D36" i="1"/>
  <c r="C36" i="1"/>
  <c r="B36" i="1"/>
  <c r="M35" i="1"/>
  <c r="L35" i="1"/>
  <c r="K35" i="1"/>
  <c r="J35" i="1"/>
  <c r="I35" i="1"/>
  <c r="H35" i="1"/>
  <c r="G35" i="1"/>
  <c r="F35" i="1"/>
  <c r="E35" i="1"/>
  <c r="D35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P11" i="1"/>
  <c r="B11" i="1"/>
  <c r="P10" i="1"/>
  <c r="M10" i="1"/>
  <c r="B10" i="1"/>
  <c r="P9" i="1"/>
  <c r="M9" i="1"/>
  <c r="L9" i="1"/>
  <c r="K9" i="1"/>
  <c r="B9" i="1"/>
  <c r="P8" i="1"/>
  <c r="M8" i="1"/>
  <c r="L8" i="1"/>
  <c r="K8" i="1"/>
  <c r="B8" i="1"/>
  <c r="P7" i="1"/>
  <c r="M7" i="1"/>
  <c r="L7" i="1"/>
  <c r="K7" i="1"/>
  <c r="J7" i="1"/>
  <c r="I7" i="1"/>
  <c r="B7" i="1"/>
  <c r="P6" i="1"/>
  <c r="M6" i="1"/>
  <c r="L6" i="1"/>
  <c r="K6" i="1"/>
  <c r="J6" i="1"/>
  <c r="I6" i="1"/>
  <c r="B6" i="1"/>
  <c r="P5" i="1"/>
  <c r="M5" i="1"/>
  <c r="L5" i="1"/>
  <c r="K5" i="1"/>
  <c r="J5" i="1"/>
  <c r="I5" i="1"/>
  <c r="H5" i="1"/>
  <c r="B5" i="1"/>
  <c r="P4" i="1"/>
  <c r="M4" i="1"/>
  <c r="L4" i="1"/>
  <c r="K4" i="1"/>
  <c r="J4" i="1"/>
  <c r="I4" i="1"/>
  <c r="H4" i="1"/>
  <c r="G4" i="1"/>
  <c r="F4" i="1"/>
  <c r="B4" i="1"/>
  <c r="P3" i="1"/>
  <c r="P2" i="1"/>
  <c r="M2" i="1"/>
  <c r="L2" i="1"/>
  <c r="K2" i="1"/>
  <c r="J2" i="1"/>
  <c r="I2" i="1"/>
  <c r="H2" i="1"/>
  <c r="G2" i="1"/>
  <c r="F2" i="1"/>
  <c r="E2" i="1"/>
  <c r="D2" i="1"/>
  <c r="C2" i="1"/>
  <c r="B2" i="1"/>
  <c r="C78" i="1" l="1"/>
  <c r="C79" i="1"/>
  <c r="C67" i="1"/>
  <c r="C76" i="1"/>
  <c r="M55" i="1"/>
  <c r="D55" i="1"/>
  <c r="E55" i="1"/>
  <c r="F55" i="1"/>
  <c r="G55" i="1"/>
  <c r="H55" i="1"/>
  <c r="I55" i="1"/>
  <c r="J55" i="1"/>
  <c r="K55" i="1"/>
  <c r="L55" i="1"/>
  <c r="B55" i="1"/>
  <c r="I56" i="1"/>
  <c r="J56" i="1"/>
  <c r="M56" i="1"/>
  <c r="L56" i="1"/>
  <c r="K56" i="1"/>
  <c r="B56" i="1"/>
  <c r="D56" i="1"/>
  <c r="E56" i="1"/>
  <c r="F56" i="1"/>
  <c r="G56" i="1"/>
  <c r="H56" i="1"/>
  <c r="F57" i="1"/>
  <c r="D57" i="1"/>
  <c r="B57" i="1"/>
  <c r="G57" i="1"/>
  <c r="E57" i="1"/>
  <c r="K113" i="1"/>
  <c r="I113" i="1"/>
  <c r="M113" i="1"/>
  <c r="H113" i="1"/>
  <c r="F113" i="1"/>
  <c r="G113" i="1"/>
  <c r="J113" i="1"/>
  <c r="L113" i="1"/>
  <c r="I114" i="1"/>
  <c r="G114" i="1"/>
  <c r="J114" i="1"/>
  <c r="L114" i="1"/>
  <c r="H114" i="1"/>
  <c r="F114" i="1"/>
  <c r="D114" i="1"/>
  <c r="B114" i="1"/>
  <c r="K114" i="1"/>
  <c r="M114" i="1"/>
  <c r="E114" i="1"/>
  <c r="K115" i="1"/>
  <c r="D115" i="1"/>
  <c r="E115" i="1"/>
  <c r="F115" i="1"/>
  <c r="G115" i="1"/>
  <c r="B115" i="1"/>
  <c r="L115" i="1"/>
  <c r="M115" i="1"/>
  <c r="H115" i="1"/>
  <c r="I115" i="1"/>
  <c r="J115" i="1"/>
  <c r="B116" i="1"/>
  <c r="M116" i="1"/>
  <c r="K116" i="1"/>
  <c r="J116" i="1"/>
  <c r="G116" i="1"/>
  <c r="E116" i="1"/>
  <c r="D116" i="1"/>
  <c r="I116" i="1"/>
  <c r="L116" i="1"/>
  <c r="F116" i="1"/>
  <c r="H116" i="1"/>
  <c r="I117" i="1"/>
  <c r="G117" i="1"/>
  <c r="K117" i="1"/>
  <c r="J117" i="1"/>
  <c r="E117" i="1"/>
  <c r="H117" i="1"/>
  <c r="F117" i="1"/>
  <c r="D117" i="1"/>
  <c r="B117" i="1"/>
  <c r="M117" i="1"/>
  <c r="L117" i="1"/>
  <c r="F118" i="1"/>
  <c r="G118" i="1"/>
  <c r="J118" i="1"/>
  <c r="E118" i="1"/>
  <c r="D118" i="1"/>
  <c r="B118" i="1"/>
  <c r="I118" i="1"/>
  <c r="M118" i="1"/>
  <c r="H118" i="1"/>
  <c r="L118" i="1"/>
  <c r="K118" i="1"/>
  <c r="G119" i="1"/>
  <c r="M119" i="1"/>
  <c r="L119" i="1"/>
  <c r="I119" i="1"/>
  <c r="B119" i="1"/>
  <c r="H119" i="1"/>
  <c r="J119" i="1"/>
  <c r="F119" i="1"/>
  <c r="D119" i="1"/>
  <c r="E119" i="1"/>
  <c r="K119" i="1"/>
  <c r="B124" i="1"/>
  <c r="A125" i="1" a="1"/>
  <c r="M3" i="1"/>
  <c r="H3" i="1"/>
  <c r="B3" i="1"/>
  <c r="L3" i="1"/>
  <c r="J3" i="1"/>
  <c r="G3" i="1"/>
  <c r="E3" i="1"/>
  <c r="K3" i="1"/>
  <c r="I3" i="1"/>
  <c r="F3" i="1"/>
  <c r="C35" i="1"/>
  <c r="M106" i="1"/>
  <c r="M92" i="1"/>
  <c r="M31" i="1"/>
  <c r="M11" i="1"/>
  <c r="M32" i="1"/>
  <c r="M16" i="1"/>
  <c r="M33" i="1"/>
  <c r="M17" i="1"/>
  <c r="M34" i="1"/>
  <c r="M29" i="1"/>
  <c r="M15" i="1"/>
  <c r="M30" i="1"/>
  <c r="M18" i="1"/>
  <c r="M45" i="1"/>
  <c r="M28" i="1"/>
  <c r="M125" i="1"/>
  <c r="M19" i="1"/>
  <c r="M46" i="1"/>
  <c r="M124" i="1"/>
  <c r="M123" i="1"/>
  <c r="M14" i="1"/>
  <c r="M122" i="1"/>
  <c r="M47" i="1"/>
  <c r="M121" i="1"/>
  <c r="M48" i="1"/>
  <c r="M20" i="1"/>
  <c r="M120" i="1"/>
  <c r="M108" i="1"/>
  <c r="M49" i="1"/>
  <c r="M27" i="1"/>
  <c r="M107" i="1"/>
  <c r="M13" i="1"/>
  <c r="M50" i="1"/>
  <c r="M21" i="1"/>
  <c r="M105" i="1"/>
  <c r="M104" i="1"/>
  <c r="M51" i="1"/>
  <c r="M103" i="1"/>
  <c r="M102" i="1"/>
  <c r="M52" i="1"/>
  <c r="M26" i="1"/>
  <c r="M22" i="1"/>
  <c r="M101" i="1"/>
  <c r="M25" i="1"/>
  <c r="M100" i="1"/>
  <c r="M99" i="1"/>
  <c r="M98" i="1"/>
  <c r="M12" i="1"/>
  <c r="M23" i="1"/>
  <c r="M97" i="1"/>
  <c r="M96" i="1"/>
  <c r="M95" i="1"/>
  <c r="M94" i="1"/>
  <c r="M91" i="1"/>
  <c r="M24" i="1"/>
  <c r="M93" i="1"/>
  <c r="L102" i="1"/>
  <c r="L48" i="1"/>
  <c r="L14" i="1"/>
  <c r="L92" i="1"/>
  <c r="L94" i="1"/>
  <c r="L24" i="1"/>
  <c r="L31" i="1"/>
  <c r="L95" i="1"/>
  <c r="L91" i="1"/>
  <c r="L96" i="1"/>
  <c r="L10" i="1"/>
  <c r="L30" i="1"/>
  <c r="L12" i="1"/>
  <c r="L11" i="1"/>
  <c r="L97" i="1"/>
  <c r="L32" i="1"/>
  <c r="L25" i="1"/>
  <c r="L90" i="1"/>
  <c r="L98" i="1"/>
  <c r="L16" i="1"/>
  <c r="L23" i="1"/>
  <c r="L33" i="1"/>
  <c r="L99" i="1"/>
  <c r="L17" i="1"/>
  <c r="L100" i="1"/>
  <c r="L34" i="1"/>
  <c r="L101" i="1"/>
  <c r="L26" i="1"/>
  <c r="L52" i="1"/>
  <c r="L22" i="1"/>
  <c r="L29" i="1"/>
  <c r="L103" i="1"/>
  <c r="L15" i="1"/>
  <c r="L18" i="1"/>
  <c r="L13" i="1"/>
  <c r="L104" i="1"/>
  <c r="L51" i="1"/>
  <c r="L105" i="1"/>
  <c r="L45" i="1"/>
  <c r="L21" i="1"/>
  <c r="L28" i="1"/>
  <c r="L125" i="1"/>
  <c r="L106" i="1"/>
  <c r="L50" i="1"/>
  <c r="L107" i="1"/>
  <c r="L19" i="1"/>
  <c r="L27" i="1"/>
  <c r="L46" i="1"/>
  <c r="L124" i="1"/>
  <c r="L108" i="1"/>
  <c r="L49" i="1"/>
  <c r="L120" i="1"/>
  <c r="L123" i="1"/>
  <c r="L47" i="1"/>
  <c r="L122" i="1"/>
  <c r="L20" i="1"/>
  <c r="L93" i="1"/>
  <c r="L121" i="1"/>
  <c r="K93" i="1"/>
  <c r="K121" i="1"/>
  <c r="K48" i="1"/>
  <c r="K20" i="1"/>
  <c r="K122" i="1"/>
  <c r="K123" i="1"/>
  <c r="K47" i="1"/>
  <c r="K49" i="1"/>
  <c r="K28" i="1"/>
  <c r="K120" i="1"/>
  <c r="K124" i="1"/>
  <c r="K108" i="1"/>
  <c r="K21" i="1"/>
  <c r="K50" i="1"/>
  <c r="K125" i="1"/>
  <c r="K46" i="1"/>
  <c r="K107" i="1"/>
  <c r="K106" i="1"/>
  <c r="K19" i="1"/>
  <c r="K27" i="1"/>
  <c r="K51" i="1"/>
  <c r="K104" i="1"/>
  <c r="K45" i="1"/>
  <c r="K18" i="1"/>
  <c r="K15" i="1"/>
  <c r="K52" i="1"/>
  <c r="K29" i="1"/>
  <c r="K13" i="1"/>
  <c r="K103" i="1"/>
  <c r="K22" i="1"/>
  <c r="K105" i="1"/>
  <c r="K102" i="1"/>
  <c r="K26" i="1"/>
  <c r="K101" i="1"/>
  <c r="K89" i="1"/>
  <c r="K17" i="1"/>
  <c r="K10" i="1"/>
  <c r="K34" i="1"/>
  <c r="K100" i="1"/>
  <c r="K99" i="1"/>
  <c r="K23" i="1"/>
  <c r="K33" i="1"/>
  <c r="K16" i="1"/>
  <c r="K90" i="1"/>
  <c r="K98" i="1"/>
  <c r="K25" i="1"/>
  <c r="K97" i="1"/>
  <c r="K11" i="1"/>
  <c r="K32" i="1"/>
  <c r="K91" i="1"/>
  <c r="K30" i="1"/>
  <c r="K12" i="1"/>
  <c r="K96" i="1"/>
  <c r="K31" i="1"/>
  <c r="K95" i="1"/>
  <c r="K24" i="1"/>
  <c r="K94" i="1"/>
  <c r="K92" i="1"/>
  <c r="K14" i="1"/>
  <c r="J13" i="1"/>
  <c r="J108" i="1"/>
  <c r="J21" i="1"/>
  <c r="J31" i="1"/>
  <c r="J120" i="1"/>
  <c r="J107" i="1"/>
  <c r="J14" i="1"/>
  <c r="J32" i="1"/>
  <c r="J30" i="1"/>
  <c r="J121" i="1"/>
  <c r="J106" i="1"/>
  <c r="J33" i="1"/>
  <c r="J20" i="1"/>
  <c r="J8" i="1"/>
  <c r="J105" i="1"/>
  <c r="J34" i="1"/>
  <c r="J104" i="1"/>
  <c r="J122" i="1"/>
  <c r="J22" i="1"/>
  <c r="J29" i="1"/>
  <c r="J103" i="1"/>
  <c r="J44" i="1"/>
  <c r="J123" i="1"/>
  <c r="J45" i="1"/>
  <c r="J102" i="1"/>
  <c r="J11" i="1"/>
  <c r="J101" i="1"/>
  <c r="J46" i="1"/>
  <c r="J124" i="1"/>
  <c r="J28" i="1"/>
  <c r="J100" i="1"/>
  <c r="J47" i="1"/>
  <c r="J23" i="1"/>
  <c r="J99" i="1"/>
  <c r="J125" i="1"/>
  <c r="J48" i="1"/>
  <c r="J9" i="1"/>
  <c r="J19" i="1"/>
  <c r="J98" i="1"/>
  <c r="J49" i="1"/>
  <c r="J16" i="1"/>
  <c r="J97" i="1"/>
  <c r="J96" i="1"/>
  <c r="J15" i="1"/>
  <c r="J50" i="1"/>
  <c r="J24" i="1"/>
  <c r="J27" i="1"/>
  <c r="J51" i="1"/>
  <c r="J12" i="1"/>
  <c r="J52" i="1"/>
  <c r="J95" i="1"/>
  <c r="J18" i="1"/>
  <c r="J94" i="1"/>
  <c r="J93" i="1"/>
  <c r="J26" i="1"/>
  <c r="J92" i="1"/>
  <c r="J17" i="1"/>
  <c r="J90" i="1"/>
  <c r="J25" i="1"/>
  <c r="J91" i="1"/>
  <c r="J89" i="1"/>
  <c r="J10" i="1"/>
  <c r="I21" i="1"/>
  <c r="I91" i="1"/>
  <c r="I89" i="1"/>
  <c r="I88" i="1"/>
  <c r="I25" i="1"/>
  <c r="I92" i="1"/>
  <c r="I90" i="1"/>
  <c r="I93" i="1"/>
  <c r="I18" i="1"/>
  <c r="I26" i="1"/>
  <c r="I53" i="1"/>
  <c r="I94" i="1"/>
  <c r="I17" i="1"/>
  <c r="I12" i="1"/>
  <c r="I95" i="1"/>
  <c r="I10" i="1"/>
  <c r="I52" i="1"/>
  <c r="I27" i="1"/>
  <c r="I51" i="1"/>
  <c r="I50" i="1"/>
  <c r="I24" i="1"/>
  <c r="I96" i="1"/>
  <c r="I97" i="1"/>
  <c r="I19" i="1"/>
  <c r="I15" i="1"/>
  <c r="I16" i="1"/>
  <c r="I98" i="1"/>
  <c r="I49" i="1"/>
  <c r="I9" i="1"/>
  <c r="I48" i="1"/>
  <c r="I125" i="1"/>
  <c r="I99" i="1"/>
  <c r="I28" i="1"/>
  <c r="I23" i="1"/>
  <c r="I100" i="1"/>
  <c r="I47" i="1"/>
  <c r="I124" i="1"/>
  <c r="I101" i="1"/>
  <c r="I46" i="1"/>
  <c r="I13" i="1"/>
  <c r="I11" i="1"/>
  <c r="I45" i="1"/>
  <c r="I123" i="1"/>
  <c r="I44" i="1"/>
  <c r="I103" i="1"/>
  <c r="I29" i="1"/>
  <c r="I20" i="1"/>
  <c r="I22" i="1"/>
  <c r="I122" i="1"/>
  <c r="I104" i="1"/>
  <c r="I34" i="1"/>
  <c r="I33" i="1"/>
  <c r="I106" i="1"/>
  <c r="I30" i="1"/>
  <c r="I121" i="1"/>
  <c r="I8" i="1"/>
  <c r="I107" i="1"/>
  <c r="I105" i="1"/>
  <c r="I32" i="1"/>
  <c r="I14" i="1"/>
  <c r="I120" i="1"/>
  <c r="I31" i="1"/>
  <c r="I108" i="1"/>
  <c r="I102" i="1"/>
  <c r="H31" i="1"/>
  <c r="H97" i="1"/>
  <c r="H7" i="1"/>
  <c r="H32" i="1"/>
  <c r="H8" i="1"/>
  <c r="H108" i="1"/>
  <c r="H33" i="1"/>
  <c r="H120" i="1"/>
  <c r="H14" i="1"/>
  <c r="H30" i="1"/>
  <c r="H34" i="1"/>
  <c r="H6" i="1"/>
  <c r="H107" i="1"/>
  <c r="H11" i="1"/>
  <c r="H29" i="1"/>
  <c r="H121" i="1"/>
  <c r="H44" i="1"/>
  <c r="H106" i="1"/>
  <c r="H45" i="1"/>
  <c r="H46" i="1"/>
  <c r="H9" i="1"/>
  <c r="H47" i="1"/>
  <c r="H105" i="1"/>
  <c r="H28" i="1"/>
  <c r="H22" i="1"/>
  <c r="H48" i="1"/>
  <c r="H49" i="1"/>
  <c r="H122" i="1"/>
  <c r="H104" i="1"/>
  <c r="H20" i="1"/>
  <c r="H50" i="1"/>
  <c r="H51" i="1"/>
  <c r="H103" i="1"/>
  <c r="H27" i="1"/>
  <c r="H123" i="1"/>
  <c r="H52" i="1"/>
  <c r="H10" i="1"/>
  <c r="H17" i="1"/>
  <c r="H102" i="1"/>
  <c r="H53" i="1"/>
  <c r="H16" i="1"/>
  <c r="H90" i="1"/>
  <c r="H26" i="1"/>
  <c r="H88" i="1"/>
  <c r="H89" i="1"/>
  <c r="H101" i="1"/>
  <c r="H23" i="1"/>
  <c r="H124" i="1"/>
  <c r="H13" i="1"/>
  <c r="H21" i="1"/>
  <c r="H91" i="1"/>
  <c r="H100" i="1"/>
  <c r="H92" i="1"/>
  <c r="H25" i="1"/>
  <c r="H93" i="1"/>
  <c r="H18" i="1"/>
  <c r="H12" i="1"/>
  <c r="H125" i="1"/>
  <c r="H99" i="1"/>
  <c r="H94" i="1"/>
  <c r="H15" i="1"/>
  <c r="H95" i="1"/>
  <c r="H98" i="1"/>
  <c r="H96" i="1"/>
  <c r="H24" i="1"/>
  <c r="H19" i="1"/>
  <c r="G31" i="1"/>
  <c r="G51" i="1"/>
  <c r="G97" i="1"/>
  <c r="G8" i="1"/>
  <c r="G24" i="1"/>
  <c r="G21" i="1"/>
  <c r="G96" i="1"/>
  <c r="G32" i="1"/>
  <c r="G98" i="1"/>
  <c r="G19" i="1"/>
  <c r="G7" i="1"/>
  <c r="G33" i="1"/>
  <c r="G95" i="1"/>
  <c r="G108" i="1"/>
  <c r="G120" i="1"/>
  <c r="G14" i="1"/>
  <c r="G30" i="1"/>
  <c r="G94" i="1"/>
  <c r="G34" i="1"/>
  <c r="G99" i="1"/>
  <c r="G6" i="1"/>
  <c r="G12" i="1"/>
  <c r="G107" i="1"/>
  <c r="G93" i="1"/>
  <c r="G11" i="1"/>
  <c r="G25" i="1"/>
  <c r="G13" i="1"/>
  <c r="G43" i="1"/>
  <c r="G15" i="1"/>
  <c r="G121" i="1"/>
  <c r="G92" i="1"/>
  <c r="G44" i="1"/>
  <c r="G100" i="1"/>
  <c r="G5" i="1"/>
  <c r="G29" i="1"/>
  <c r="G18" i="1"/>
  <c r="G45" i="1"/>
  <c r="G91" i="1"/>
  <c r="G106" i="1"/>
  <c r="G23" i="1"/>
  <c r="G46" i="1"/>
  <c r="G101" i="1"/>
  <c r="G124" i="1"/>
  <c r="G89" i="1"/>
  <c r="G9" i="1"/>
  <c r="G88" i="1"/>
  <c r="G47" i="1"/>
  <c r="G26" i="1"/>
  <c r="G105" i="1"/>
  <c r="G22" i="1"/>
  <c r="G90" i="1"/>
  <c r="G48" i="1"/>
  <c r="G71" i="1"/>
  <c r="G16" i="1"/>
  <c r="G28" i="1"/>
  <c r="G102" i="1"/>
  <c r="G53" i="1"/>
  <c r="G49" i="1"/>
  <c r="G122" i="1"/>
  <c r="G27" i="1"/>
  <c r="G20" i="1"/>
  <c r="G104" i="1"/>
  <c r="G17" i="1"/>
  <c r="G52" i="1"/>
  <c r="G50" i="1"/>
  <c r="G10" i="1"/>
  <c r="G103" i="1"/>
  <c r="G123" i="1"/>
  <c r="F51" i="1"/>
  <c r="F31" i="1"/>
  <c r="F10" i="1"/>
  <c r="F103" i="1"/>
  <c r="F50" i="1"/>
  <c r="F52" i="1"/>
  <c r="F104" i="1"/>
  <c r="F17" i="1"/>
  <c r="F15" i="1"/>
  <c r="F27" i="1"/>
  <c r="F53" i="1"/>
  <c r="F49" i="1"/>
  <c r="F28" i="1"/>
  <c r="F102" i="1"/>
  <c r="F20" i="1"/>
  <c r="F71" i="1"/>
  <c r="F23" i="1"/>
  <c r="F90" i="1"/>
  <c r="F48" i="1"/>
  <c r="F105" i="1"/>
  <c r="F22" i="1"/>
  <c r="F88" i="1"/>
  <c r="F47" i="1"/>
  <c r="F124" i="1"/>
  <c r="F122" i="1"/>
  <c r="F26" i="1"/>
  <c r="F89" i="1"/>
  <c r="F16" i="1"/>
  <c r="F46" i="1"/>
  <c r="F101" i="1"/>
  <c r="F14" i="1"/>
  <c r="F9" i="1"/>
  <c r="F106" i="1"/>
  <c r="F91" i="1"/>
  <c r="F45" i="1"/>
  <c r="F29" i="1"/>
  <c r="F5" i="1"/>
  <c r="F12" i="1"/>
  <c r="F92" i="1"/>
  <c r="F44" i="1"/>
  <c r="F100" i="1"/>
  <c r="F125" i="1"/>
  <c r="F43" i="1"/>
  <c r="F93" i="1"/>
  <c r="F7" i="1"/>
  <c r="F107" i="1"/>
  <c r="F30" i="1"/>
  <c r="F121" i="1"/>
  <c r="F25" i="1"/>
  <c r="F11" i="1"/>
  <c r="F94" i="1"/>
  <c r="F34" i="1"/>
  <c r="F99" i="1"/>
  <c r="F13" i="1"/>
  <c r="F108" i="1"/>
  <c r="F95" i="1"/>
  <c r="F33" i="1"/>
  <c r="F19" i="1"/>
  <c r="F6" i="1"/>
  <c r="F120" i="1"/>
  <c r="F21" i="1"/>
  <c r="F96" i="1"/>
  <c r="F32" i="1"/>
  <c r="F98" i="1"/>
  <c r="F24" i="1"/>
  <c r="F97" i="1"/>
  <c r="F8" i="1"/>
  <c r="F18" i="1"/>
  <c r="F123" i="1"/>
  <c r="E107" i="1"/>
  <c r="E31" i="1"/>
  <c r="E32" i="1"/>
  <c r="E6" i="1"/>
  <c r="E33" i="1"/>
  <c r="E34" i="1"/>
  <c r="E30" i="1"/>
  <c r="E8" i="1"/>
  <c r="E9" i="1"/>
  <c r="E43" i="1"/>
  <c r="E44" i="1"/>
  <c r="E10" i="1"/>
  <c r="E45" i="1"/>
  <c r="E29" i="1"/>
  <c r="E46" i="1"/>
  <c r="E47" i="1"/>
  <c r="E48" i="1"/>
  <c r="E12" i="1"/>
  <c r="E49" i="1"/>
  <c r="E28" i="1"/>
  <c r="E50" i="1"/>
  <c r="E51" i="1"/>
  <c r="E52" i="1"/>
  <c r="E13" i="1"/>
  <c r="E53" i="1"/>
  <c r="E27" i="1"/>
  <c r="E71" i="1"/>
  <c r="E90" i="1"/>
  <c r="E14" i="1"/>
  <c r="E88" i="1"/>
  <c r="E26" i="1"/>
  <c r="E89" i="1"/>
  <c r="E91" i="1"/>
  <c r="E92" i="1"/>
  <c r="E15" i="1"/>
  <c r="E93" i="1"/>
  <c r="E25" i="1"/>
  <c r="E94" i="1"/>
  <c r="E95" i="1"/>
  <c r="E96" i="1"/>
  <c r="E16" i="1"/>
  <c r="E97" i="1"/>
  <c r="E24" i="1"/>
  <c r="E98" i="1"/>
  <c r="E99" i="1"/>
  <c r="E4" i="1"/>
  <c r="E100" i="1"/>
  <c r="E5" i="1"/>
  <c r="E101" i="1"/>
  <c r="E23" i="1"/>
  <c r="E7" i="1"/>
  <c r="E102" i="1"/>
  <c r="E103" i="1"/>
  <c r="E104" i="1"/>
  <c r="E105" i="1"/>
  <c r="E22" i="1"/>
  <c r="E11" i="1"/>
  <c r="E106" i="1"/>
  <c r="E108" i="1"/>
  <c r="E109" i="1"/>
  <c r="E120" i="1"/>
  <c r="E21" i="1"/>
  <c r="E121" i="1"/>
  <c r="E122" i="1"/>
  <c r="E17" i="1"/>
  <c r="E123" i="1"/>
  <c r="E124" i="1"/>
  <c r="E20" i="1"/>
  <c r="E125" i="1"/>
  <c r="E18" i="1"/>
  <c r="E19" i="1"/>
  <c r="D31" i="1"/>
  <c r="D107" i="1"/>
  <c r="D32" i="1"/>
  <c r="D19" i="1"/>
  <c r="D18" i="1"/>
  <c r="D20" i="1"/>
  <c r="D124" i="1"/>
  <c r="D123" i="1"/>
  <c r="D17" i="1"/>
  <c r="D122" i="1"/>
  <c r="D121" i="1"/>
  <c r="D21" i="1"/>
  <c r="D120" i="1"/>
  <c r="D109" i="1"/>
  <c r="D108" i="1"/>
  <c r="D106" i="1"/>
  <c r="D11" i="1"/>
  <c r="D9" i="1"/>
  <c r="D22" i="1"/>
  <c r="D105" i="1"/>
  <c r="D104" i="1"/>
  <c r="D8" i="1"/>
  <c r="D103" i="1"/>
  <c r="D23" i="1"/>
  <c r="D102" i="1"/>
  <c r="D101" i="1"/>
  <c r="D5" i="1"/>
  <c r="D100" i="1"/>
  <c r="D4" i="1"/>
  <c r="D99" i="1"/>
  <c r="D24" i="1"/>
  <c r="D98" i="1"/>
  <c r="D97" i="1"/>
  <c r="D16" i="1"/>
  <c r="D96" i="1"/>
  <c r="D95" i="1"/>
  <c r="D25" i="1"/>
  <c r="D94" i="1"/>
  <c r="D93" i="1"/>
  <c r="D15" i="1"/>
  <c r="D92" i="1"/>
  <c r="D91" i="1"/>
  <c r="D26" i="1"/>
  <c r="D89" i="1"/>
  <c r="D88" i="1"/>
  <c r="D14" i="1"/>
  <c r="D90" i="1"/>
  <c r="D72" i="1"/>
  <c r="C72" i="1" s="1"/>
  <c r="D71" i="1"/>
  <c r="D27" i="1"/>
  <c r="D53" i="1"/>
  <c r="D13" i="1"/>
  <c r="D52" i="1"/>
  <c r="D51" i="1"/>
  <c r="D50" i="1"/>
  <c r="D28" i="1"/>
  <c r="D49" i="1"/>
  <c r="D12" i="1"/>
  <c r="D48" i="1"/>
  <c r="D47" i="1"/>
  <c r="D46" i="1"/>
  <c r="D29" i="1"/>
  <c r="D45" i="1"/>
  <c r="D10" i="1"/>
  <c r="D44" i="1"/>
  <c r="D43" i="1"/>
  <c r="D42" i="1"/>
  <c r="C42" i="1" s="1"/>
  <c r="D30" i="1"/>
  <c r="D7" i="1"/>
  <c r="D34" i="1"/>
  <c r="D33" i="1"/>
  <c r="D6" i="1"/>
  <c r="D3" i="1"/>
  <c r="B125" i="1" l="1"/>
  <c r="A126" i="1" a="1"/>
  <c r="C55" i="1"/>
  <c r="C56" i="1"/>
  <c r="C57" i="1"/>
  <c r="C113" i="1"/>
  <c r="C114" i="1"/>
  <c r="C115" i="1"/>
  <c r="C116" i="1"/>
  <c r="C117" i="1"/>
  <c r="C118" i="1"/>
  <c r="C119" i="1"/>
  <c r="G125" i="1"/>
  <c r="D125" i="1"/>
  <c r="C125" i="1" s="1"/>
  <c r="C3" i="1"/>
  <c r="C4" i="1"/>
  <c r="C31" i="1"/>
  <c r="C107" i="1"/>
  <c r="C32" i="1"/>
  <c r="C19" i="1"/>
  <c r="C18" i="1"/>
  <c r="C20" i="1"/>
  <c r="C124" i="1"/>
  <c r="C123" i="1"/>
  <c r="C17" i="1"/>
  <c r="C122" i="1"/>
  <c r="C121" i="1"/>
  <c r="C21" i="1"/>
  <c r="C120" i="1"/>
  <c r="C109" i="1"/>
  <c r="C108" i="1"/>
  <c r="C106" i="1"/>
  <c r="C11" i="1"/>
  <c r="C9" i="1"/>
  <c r="C22" i="1"/>
  <c r="C105" i="1"/>
  <c r="C104" i="1"/>
  <c r="C8" i="1"/>
  <c r="C103" i="1"/>
  <c r="C23" i="1"/>
  <c r="C102" i="1"/>
  <c r="C101" i="1"/>
  <c r="C5" i="1"/>
  <c r="C100" i="1"/>
  <c r="C99" i="1"/>
  <c r="C24" i="1"/>
  <c r="C98" i="1"/>
  <c r="C97" i="1"/>
  <c r="C16" i="1"/>
  <c r="C96" i="1"/>
  <c r="C95" i="1"/>
  <c r="C25" i="1"/>
  <c r="C94" i="1"/>
  <c r="C93" i="1"/>
  <c r="C15" i="1"/>
  <c r="C30" i="1"/>
  <c r="C6" i="1"/>
  <c r="C92" i="1"/>
  <c r="C91" i="1"/>
  <c r="C26" i="1"/>
  <c r="C89" i="1"/>
  <c r="C88" i="1"/>
  <c r="C14" i="1"/>
  <c r="C90" i="1"/>
  <c r="C71" i="1"/>
  <c r="C27" i="1"/>
  <c r="C53" i="1"/>
  <c r="C13" i="1"/>
  <c r="C52" i="1"/>
  <c r="C51" i="1"/>
  <c r="C50" i="1"/>
  <c r="C28" i="1"/>
  <c r="C49" i="1"/>
  <c r="C12" i="1"/>
  <c r="C48" i="1"/>
  <c r="C47" i="1"/>
  <c r="C46" i="1"/>
  <c r="C29" i="1"/>
  <c r="C45" i="1"/>
  <c r="C10" i="1"/>
  <c r="C44" i="1"/>
  <c r="C43" i="1"/>
  <c r="C7" i="1"/>
  <c r="C34" i="1"/>
  <c r="C33" i="1"/>
  <c r="F126" i="1" l="1"/>
  <c r="D126" i="1"/>
  <c r="E126" i="1"/>
  <c r="H126" i="1"/>
  <c r="I126" i="1"/>
  <c r="J126" i="1"/>
  <c r="G126" i="1"/>
  <c r="K126" i="1"/>
  <c r="L126" i="1"/>
  <c r="M126" i="1"/>
  <c r="B126" i="1"/>
  <c r="A127" i="1" a="1"/>
  <c r="D127" i="1" l="1"/>
  <c r="C127" i="1" s="1"/>
  <c r="F127" i="1"/>
  <c r="E127" i="1"/>
  <c r="I127" i="1"/>
  <c r="J127" i="1"/>
  <c r="G127" i="1"/>
  <c r="H127" i="1"/>
  <c r="K127" i="1"/>
  <c r="M127" i="1"/>
  <c r="B127" i="1"/>
  <c r="L127" i="1"/>
  <c r="A128" i="1" a="1"/>
  <c r="C126" i="1"/>
  <c r="D128" i="1" l="1"/>
  <c r="C128" i="1" s="1"/>
  <c r="F128" i="1"/>
  <c r="G128" i="1"/>
  <c r="I128" i="1"/>
  <c r="J128" i="1"/>
  <c r="K128" i="1"/>
  <c r="E128" i="1"/>
  <c r="H128" i="1"/>
  <c r="L128" i="1"/>
  <c r="B128" i="1"/>
  <c r="M128" i="1"/>
  <c r="A129" i="1" a="1"/>
  <c r="B129" i="1" l="1"/>
  <c r="F129" i="1"/>
  <c r="G129" i="1"/>
  <c r="L129" i="1"/>
  <c r="D129" i="1"/>
  <c r="I129" i="1"/>
  <c r="M129" i="1"/>
  <c r="E129" i="1"/>
  <c r="H129" i="1"/>
  <c r="J129" i="1"/>
  <c r="K129" i="1"/>
  <c r="A130" i="1" a="1"/>
  <c r="B130" i="1" l="1"/>
  <c r="D130" i="1"/>
  <c r="J130" i="1"/>
  <c r="E130" i="1"/>
  <c r="G130" i="1"/>
  <c r="I130" i="1"/>
  <c r="K130" i="1"/>
  <c r="M130" i="1"/>
  <c r="F130" i="1"/>
  <c r="H130" i="1"/>
  <c r="L130" i="1"/>
  <c r="A131" i="1" a="1"/>
  <c r="C129" i="1"/>
  <c r="F131" i="1" l="1"/>
  <c r="G131" i="1"/>
  <c r="H131" i="1"/>
  <c r="J131" i="1"/>
  <c r="K131" i="1"/>
  <c r="L131" i="1"/>
  <c r="B131" i="1"/>
  <c r="D131" i="1"/>
  <c r="E131" i="1"/>
  <c r="I131" i="1"/>
  <c r="M131" i="1"/>
  <c r="A132" i="1" a="1"/>
  <c r="C130" i="1"/>
  <c r="B132" i="1" l="1"/>
  <c r="D132" i="1"/>
  <c r="C132" i="1" s="1"/>
  <c r="E132" i="1"/>
  <c r="K132" i="1"/>
  <c r="F132" i="1"/>
  <c r="H132" i="1"/>
  <c r="J132" i="1"/>
  <c r="G132" i="1"/>
  <c r="I132" i="1"/>
  <c r="L132" i="1"/>
  <c r="M132" i="1"/>
  <c r="A133" i="1" a="1"/>
  <c r="C131" i="1"/>
  <c r="B133" i="1" l="1"/>
  <c r="D133" i="1"/>
  <c r="E133" i="1"/>
  <c r="K133" i="1"/>
  <c r="M133" i="1"/>
  <c r="G133" i="1"/>
  <c r="J133" i="1"/>
  <c r="F133" i="1"/>
  <c r="H133" i="1"/>
  <c r="I133" i="1"/>
  <c r="L133" i="1"/>
  <c r="A134" i="1" a="1"/>
  <c r="F134" i="1" l="1"/>
  <c r="K134" i="1"/>
  <c r="D134" i="1"/>
  <c r="E134" i="1"/>
  <c r="J134" i="1"/>
  <c r="B134" i="1"/>
  <c r="G134" i="1"/>
  <c r="H134" i="1"/>
  <c r="I134" i="1"/>
  <c r="L134" i="1"/>
  <c r="M134" i="1"/>
  <c r="A135" i="1" a="1"/>
  <c r="C133" i="1"/>
  <c r="F135" i="1" l="1"/>
  <c r="H135" i="1"/>
  <c r="I135" i="1"/>
  <c r="M135" i="1"/>
  <c r="B135" i="1"/>
  <c r="D135" i="1"/>
  <c r="E135" i="1"/>
  <c r="K135" i="1"/>
  <c r="G135" i="1"/>
  <c r="J135" i="1"/>
  <c r="L135" i="1"/>
  <c r="A136" i="1" a="1"/>
  <c r="C134" i="1"/>
  <c r="B136" i="1" l="1"/>
  <c r="D136" i="1"/>
  <c r="E136" i="1"/>
  <c r="G136" i="1"/>
  <c r="K136" i="1"/>
  <c r="M136" i="1"/>
  <c r="F136" i="1"/>
  <c r="H136" i="1"/>
  <c r="I136" i="1"/>
  <c r="J136" i="1"/>
  <c r="L136" i="1"/>
  <c r="A137" i="1" a="1"/>
  <c r="C135" i="1"/>
  <c r="B137" i="1" l="1"/>
  <c r="I137" i="1"/>
  <c r="J137" i="1"/>
  <c r="K137" i="1"/>
  <c r="L137" i="1"/>
  <c r="M137" i="1"/>
  <c r="D137" i="1"/>
  <c r="C137" i="1" s="1"/>
  <c r="E137" i="1"/>
  <c r="F137" i="1"/>
  <c r="G137" i="1"/>
  <c r="H137" i="1"/>
  <c r="A138" i="1" a="1"/>
  <c r="C136" i="1"/>
  <c r="B138" i="1" l="1"/>
  <c r="D138" i="1"/>
  <c r="E138" i="1"/>
  <c r="F138" i="1"/>
  <c r="G138" i="1"/>
  <c r="H138" i="1"/>
  <c r="I138" i="1"/>
  <c r="J138" i="1"/>
  <c r="K138" i="1"/>
  <c r="L138" i="1"/>
  <c r="M138" i="1"/>
  <c r="A139" i="1" a="1"/>
  <c r="B139" i="1" l="1"/>
  <c r="D139" i="1"/>
  <c r="E139" i="1"/>
  <c r="F139" i="1"/>
  <c r="G139" i="1"/>
  <c r="H139" i="1"/>
  <c r="I139" i="1"/>
  <c r="J139" i="1"/>
  <c r="K139" i="1"/>
  <c r="L139" i="1"/>
  <c r="M139" i="1"/>
  <c r="A140" i="1" a="1"/>
  <c r="C138" i="1"/>
  <c r="B140" i="1" l="1"/>
  <c r="D140" i="1"/>
  <c r="E140" i="1"/>
  <c r="F140" i="1"/>
  <c r="G140" i="1"/>
  <c r="H140" i="1"/>
  <c r="I140" i="1"/>
  <c r="J140" i="1"/>
  <c r="K140" i="1"/>
  <c r="L140" i="1"/>
  <c r="M140" i="1"/>
  <c r="A141" i="1" a="1"/>
  <c r="C139" i="1"/>
  <c r="B141" i="1" l="1"/>
  <c r="D141" i="1"/>
  <c r="E141" i="1"/>
  <c r="F141" i="1"/>
  <c r="G141" i="1"/>
  <c r="H141" i="1"/>
  <c r="I141" i="1"/>
  <c r="J141" i="1"/>
  <c r="K141" i="1"/>
  <c r="L141" i="1"/>
  <c r="M141" i="1"/>
  <c r="A142" i="1" a="1"/>
  <c r="C140" i="1"/>
  <c r="H142" i="1" l="1"/>
  <c r="D142" i="1"/>
  <c r="F142" i="1"/>
  <c r="E142" i="1"/>
  <c r="I142" i="1"/>
  <c r="J142" i="1"/>
  <c r="G142" i="1"/>
  <c r="B142" i="1"/>
  <c r="K142" i="1"/>
  <c r="L142" i="1"/>
  <c r="M142" i="1"/>
  <c r="A143" i="1" a="1"/>
  <c r="C141" i="1"/>
  <c r="D143" i="1" l="1"/>
  <c r="E143" i="1"/>
  <c r="F143" i="1"/>
  <c r="G143" i="1"/>
  <c r="I143" i="1"/>
  <c r="J143" i="1"/>
  <c r="H143" i="1"/>
  <c r="K143" i="1"/>
  <c r="L143" i="1"/>
  <c r="M143" i="1"/>
  <c r="B143" i="1"/>
  <c r="A144" i="1" a="1"/>
  <c r="C142" i="1"/>
  <c r="D144" i="1" l="1"/>
  <c r="C144" i="1" s="1"/>
  <c r="E144" i="1"/>
  <c r="F144" i="1"/>
  <c r="G144" i="1"/>
  <c r="H144" i="1"/>
  <c r="I144" i="1"/>
  <c r="J144" i="1"/>
  <c r="K144" i="1"/>
  <c r="L144" i="1"/>
  <c r="M144" i="1"/>
  <c r="B144" i="1"/>
  <c r="A145" i="1" a="1"/>
  <c r="C143" i="1"/>
  <c r="H145" i="1" l="1"/>
  <c r="D145" i="1"/>
  <c r="F145" i="1"/>
  <c r="E145" i="1"/>
  <c r="G145" i="1"/>
  <c r="I145" i="1"/>
  <c r="J145" i="1"/>
  <c r="K145" i="1"/>
  <c r="L145" i="1"/>
  <c r="M145" i="1"/>
  <c r="B145" i="1"/>
  <c r="A146" i="1" a="1"/>
  <c r="F146" i="1" l="1"/>
  <c r="D146" i="1"/>
  <c r="E146" i="1"/>
  <c r="B146" i="1"/>
  <c r="G146" i="1"/>
  <c r="H146" i="1"/>
  <c r="I146" i="1"/>
  <c r="J146" i="1"/>
  <c r="K146" i="1"/>
  <c r="L146" i="1"/>
  <c r="M146" i="1"/>
  <c r="A147" i="1" a="1"/>
  <c r="C145" i="1"/>
  <c r="B147" i="1" l="1"/>
  <c r="D147" i="1"/>
  <c r="E147" i="1"/>
  <c r="F147" i="1"/>
  <c r="G147" i="1"/>
  <c r="H147" i="1"/>
  <c r="I147" i="1"/>
  <c r="J147" i="1"/>
  <c r="K147" i="1"/>
  <c r="L147" i="1"/>
  <c r="M147" i="1"/>
  <c r="A148" i="1" a="1"/>
  <c r="C146" i="1"/>
  <c r="B148" i="1" l="1"/>
  <c r="D148" i="1"/>
  <c r="C148" i="1" s="1"/>
  <c r="E148" i="1"/>
  <c r="F148" i="1"/>
  <c r="G148" i="1"/>
  <c r="H148" i="1"/>
  <c r="I148" i="1"/>
  <c r="J148" i="1"/>
  <c r="K148" i="1"/>
  <c r="L148" i="1"/>
  <c r="M148" i="1"/>
  <c r="A149" i="1" a="1"/>
  <c r="C147" i="1"/>
  <c r="B149" i="1" l="1"/>
  <c r="D149" i="1"/>
  <c r="E149" i="1"/>
  <c r="F149" i="1"/>
  <c r="G149" i="1"/>
  <c r="H149" i="1"/>
  <c r="I149" i="1"/>
  <c r="J149" i="1"/>
  <c r="K149" i="1"/>
  <c r="L149" i="1"/>
  <c r="M149" i="1"/>
  <c r="A150" i="1" a="1"/>
  <c r="B150" i="1" l="1"/>
  <c r="D150" i="1"/>
  <c r="E150" i="1"/>
  <c r="F150" i="1"/>
  <c r="G150" i="1"/>
  <c r="H150" i="1"/>
  <c r="I150" i="1"/>
  <c r="J150" i="1"/>
  <c r="K150" i="1"/>
  <c r="L150" i="1"/>
  <c r="M150" i="1"/>
  <c r="A151" i="1" a="1"/>
  <c r="C149" i="1"/>
  <c r="B151" i="1" l="1"/>
  <c r="D151" i="1"/>
  <c r="E151" i="1"/>
  <c r="F151" i="1"/>
  <c r="G151" i="1"/>
  <c r="H151" i="1"/>
  <c r="I151" i="1"/>
  <c r="J151" i="1"/>
  <c r="K151" i="1"/>
  <c r="L151" i="1"/>
  <c r="M151" i="1"/>
  <c r="A152" i="1" a="1"/>
  <c r="C150" i="1"/>
  <c r="B152" i="1" l="1"/>
  <c r="D152" i="1"/>
  <c r="E152" i="1"/>
  <c r="F152" i="1"/>
  <c r="G152" i="1"/>
  <c r="H152" i="1"/>
  <c r="I152" i="1"/>
  <c r="J152" i="1"/>
  <c r="K152" i="1"/>
  <c r="L152" i="1"/>
  <c r="M152" i="1"/>
  <c r="A153" i="1" a="1"/>
  <c r="C151" i="1"/>
  <c r="B153" i="1" l="1"/>
  <c r="D153" i="1"/>
  <c r="E153" i="1"/>
  <c r="F153" i="1"/>
  <c r="G153" i="1"/>
  <c r="H153" i="1"/>
  <c r="I153" i="1"/>
  <c r="J153" i="1"/>
  <c r="K153" i="1"/>
  <c r="L153" i="1"/>
  <c r="M153" i="1"/>
  <c r="A154" i="1" a="1"/>
  <c r="C152" i="1"/>
  <c r="B154" i="1" l="1"/>
  <c r="D154" i="1"/>
  <c r="E154" i="1"/>
  <c r="F154" i="1"/>
  <c r="G154" i="1"/>
  <c r="H154" i="1"/>
  <c r="I154" i="1"/>
  <c r="J154" i="1"/>
  <c r="K154" i="1"/>
  <c r="L154" i="1"/>
  <c r="M154" i="1"/>
  <c r="A155" i="1" a="1"/>
  <c r="C153" i="1"/>
  <c r="B155" i="1" l="1"/>
  <c r="D155" i="1"/>
  <c r="E155" i="1"/>
  <c r="F155" i="1"/>
  <c r="G155" i="1"/>
  <c r="H155" i="1"/>
  <c r="I155" i="1"/>
  <c r="J155" i="1"/>
  <c r="K155" i="1"/>
  <c r="L155" i="1"/>
  <c r="M155" i="1"/>
  <c r="A156" i="1" a="1"/>
  <c r="C154" i="1"/>
  <c r="B156" i="1" l="1"/>
  <c r="D156" i="1"/>
  <c r="E156" i="1"/>
  <c r="F156" i="1"/>
  <c r="G156" i="1"/>
  <c r="H156" i="1"/>
  <c r="I156" i="1"/>
  <c r="J156" i="1"/>
  <c r="K156" i="1"/>
  <c r="L156" i="1"/>
  <c r="M156" i="1"/>
  <c r="A157" i="1" a="1"/>
  <c r="C155" i="1"/>
  <c r="D157" i="1" l="1"/>
  <c r="E157" i="1"/>
  <c r="B157" i="1"/>
  <c r="F157" i="1"/>
  <c r="G157" i="1"/>
  <c r="H157" i="1"/>
  <c r="I157" i="1"/>
  <c r="J157" i="1"/>
  <c r="K157" i="1"/>
  <c r="L157" i="1"/>
  <c r="M157" i="1"/>
  <c r="A158" i="1" a="1"/>
  <c r="C156" i="1"/>
  <c r="D158" i="1" l="1"/>
  <c r="E158" i="1"/>
  <c r="F158" i="1"/>
  <c r="G158" i="1"/>
  <c r="H158" i="1"/>
  <c r="B158" i="1"/>
  <c r="I158" i="1"/>
  <c r="J158" i="1"/>
  <c r="K158" i="1"/>
  <c r="L158" i="1"/>
  <c r="M158" i="1"/>
  <c r="A159" i="1" a="1"/>
  <c r="C157" i="1"/>
  <c r="D159" i="1" l="1"/>
  <c r="F159" i="1"/>
  <c r="E159" i="1"/>
  <c r="G159" i="1"/>
  <c r="I159" i="1"/>
  <c r="H159" i="1"/>
  <c r="B159" i="1"/>
  <c r="J159" i="1"/>
  <c r="K159" i="1"/>
  <c r="L159" i="1"/>
  <c r="M159" i="1"/>
  <c r="A160" i="1" a="1"/>
  <c r="C158" i="1"/>
  <c r="D160" i="1" l="1"/>
  <c r="E160" i="1"/>
  <c r="F160" i="1"/>
  <c r="G160" i="1"/>
  <c r="H160" i="1"/>
  <c r="I160" i="1"/>
  <c r="J160" i="1"/>
  <c r="K160" i="1"/>
  <c r="B160" i="1"/>
  <c r="L160" i="1"/>
  <c r="M160" i="1"/>
  <c r="A161" i="1" a="1"/>
  <c r="C159" i="1"/>
  <c r="D161" i="1" l="1"/>
  <c r="C161" i="1" s="1"/>
  <c r="E161" i="1"/>
  <c r="F161" i="1"/>
  <c r="G161" i="1"/>
  <c r="H161" i="1"/>
  <c r="I161" i="1"/>
  <c r="J161" i="1"/>
  <c r="K161" i="1"/>
  <c r="L161" i="1"/>
  <c r="B161" i="1"/>
  <c r="M161" i="1"/>
  <c r="A162" i="1" a="1"/>
  <c r="C160" i="1"/>
  <c r="D162" i="1" l="1"/>
  <c r="E162" i="1"/>
  <c r="F162" i="1"/>
  <c r="G162" i="1"/>
  <c r="I162" i="1"/>
  <c r="H162" i="1"/>
  <c r="J162" i="1"/>
  <c r="K162" i="1"/>
  <c r="L162" i="1"/>
  <c r="M162" i="1"/>
  <c r="B162" i="1"/>
  <c r="A163" i="1" a="1"/>
  <c r="D163" i="1" l="1"/>
  <c r="F163" i="1"/>
  <c r="E163" i="1"/>
  <c r="G163" i="1"/>
  <c r="H163" i="1"/>
  <c r="I163" i="1"/>
  <c r="J163" i="1"/>
  <c r="K163" i="1"/>
  <c r="L163" i="1"/>
  <c r="M163" i="1"/>
  <c r="B163" i="1"/>
  <c r="A164" i="1" a="1"/>
  <c r="C162" i="1"/>
  <c r="D164" i="1" l="1"/>
  <c r="F164" i="1"/>
  <c r="E164" i="1"/>
  <c r="G164" i="1"/>
  <c r="H164" i="1"/>
  <c r="I164" i="1"/>
  <c r="J164" i="1"/>
  <c r="K164" i="1"/>
  <c r="L164" i="1"/>
  <c r="M164" i="1"/>
  <c r="B164" i="1"/>
  <c r="A165" i="1" a="1"/>
  <c r="C163" i="1"/>
  <c r="D165" i="1" l="1"/>
  <c r="F165" i="1"/>
  <c r="E165" i="1"/>
  <c r="G165" i="1"/>
  <c r="H165" i="1"/>
  <c r="I165" i="1"/>
  <c r="J165" i="1"/>
  <c r="K165" i="1"/>
  <c r="L165" i="1"/>
  <c r="M165" i="1"/>
  <c r="B165" i="1"/>
  <c r="A166" i="1" a="1"/>
  <c r="C164" i="1"/>
  <c r="D166" i="1" l="1"/>
  <c r="F166" i="1"/>
  <c r="E166" i="1"/>
  <c r="G166" i="1"/>
  <c r="H166" i="1"/>
  <c r="I166" i="1"/>
  <c r="J166" i="1"/>
  <c r="K166" i="1"/>
  <c r="L166" i="1"/>
  <c r="M166" i="1"/>
  <c r="B166" i="1"/>
  <c r="A167" i="1" a="1"/>
  <c r="C165" i="1"/>
  <c r="D167" i="1" l="1"/>
  <c r="F167" i="1"/>
  <c r="E167" i="1"/>
  <c r="G167" i="1"/>
  <c r="H167" i="1"/>
  <c r="I167" i="1"/>
  <c r="K167" i="1"/>
  <c r="L167" i="1"/>
  <c r="M167" i="1"/>
  <c r="J167" i="1"/>
  <c r="B167" i="1"/>
  <c r="A168" i="1" a="1"/>
  <c r="C166" i="1"/>
  <c r="D168" i="1" l="1"/>
  <c r="C168" i="1" s="1"/>
  <c r="F168" i="1"/>
  <c r="E168" i="1"/>
  <c r="G168" i="1"/>
  <c r="H168" i="1"/>
  <c r="I168" i="1"/>
  <c r="J168" i="1"/>
  <c r="K168" i="1"/>
  <c r="L168" i="1"/>
  <c r="M168" i="1"/>
  <c r="B168" i="1"/>
  <c r="A169" i="1" a="1"/>
  <c r="C167" i="1"/>
  <c r="D169" i="1" l="1"/>
  <c r="F169" i="1"/>
  <c r="E169" i="1"/>
  <c r="G169" i="1"/>
  <c r="I169" i="1"/>
  <c r="H169" i="1"/>
  <c r="J169" i="1"/>
  <c r="K169" i="1"/>
  <c r="L169" i="1"/>
  <c r="M169" i="1"/>
  <c r="B169" i="1"/>
  <c r="A170" i="1" a="1"/>
  <c r="D170" i="1" l="1"/>
  <c r="C170" i="1" s="1"/>
  <c r="F170" i="1"/>
  <c r="E170" i="1"/>
  <c r="H170" i="1"/>
  <c r="I170" i="1"/>
  <c r="G170" i="1"/>
  <c r="J170" i="1"/>
  <c r="K170" i="1"/>
  <c r="L170" i="1"/>
  <c r="M170" i="1"/>
  <c r="B170" i="1"/>
  <c r="A171" i="1" a="1"/>
  <c r="C169" i="1"/>
  <c r="D171" i="1" l="1"/>
  <c r="F171" i="1"/>
  <c r="E171" i="1"/>
  <c r="G171" i="1"/>
  <c r="H171" i="1"/>
  <c r="I171" i="1"/>
  <c r="J171" i="1"/>
  <c r="K171" i="1"/>
  <c r="L171" i="1"/>
  <c r="M171" i="1"/>
  <c r="B171" i="1"/>
  <c r="A172" i="1" a="1"/>
  <c r="D172" i="1" l="1"/>
  <c r="F172" i="1"/>
  <c r="E172" i="1"/>
  <c r="G172" i="1"/>
  <c r="H172" i="1"/>
  <c r="I172" i="1"/>
  <c r="J172" i="1"/>
  <c r="K172" i="1"/>
  <c r="L172" i="1"/>
  <c r="M172" i="1"/>
  <c r="B172" i="1"/>
  <c r="A173" i="1" a="1"/>
  <c r="C171" i="1"/>
  <c r="D173" i="1" l="1"/>
  <c r="E173" i="1"/>
  <c r="F173" i="1"/>
  <c r="G173" i="1"/>
  <c r="H173" i="1"/>
  <c r="I173" i="1"/>
  <c r="J173" i="1"/>
  <c r="K173" i="1"/>
  <c r="L173" i="1"/>
  <c r="M173" i="1"/>
  <c r="B173" i="1"/>
  <c r="A174" i="1" a="1"/>
  <c r="C172" i="1"/>
  <c r="D174" i="1" l="1"/>
  <c r="F174" i="1"/>
  <c r="E174" i="1"/>
  <c r="G174" i="1"/>
  <c r="H174" i="1"/>
  <c r="I174" i="1"/>
  <c r="J174" i="1"/>
  <c r="K174" i="1"/>
  <c r="L174" i="1"/>
  <c r="M174" i="1"/>
  <c r="B174" i="1"/>
  <c r="A175" i="1" a="1"/>
  <c r="C173" i="1"/>
  <c r="D175" i="1" l="1"/>
  <c r="E175" i="1"/>
  <c r="F175" i="1"/>
  <c r="G175" i="1"/>
  <c r="H175" i="1"/>
  <c r="I175" i="1"/>
  <c r="J175" i="1"/>
  <c r="K175" i="1"/>
  <c r="L175" i="1"/>
  <c r="M175" i="1"/>
  <c r="B175" i="1"/>
  <c r="A176" i="1" a="1"/>
  <c r="C174" i="1"/>
  <c r="D176" i="1" l="1"/>
  <c r="E176" i="1"/>
  <c r="F176" i="1"/>
  <c r="G176" i="1"/>
  <c r="I176" i="1"/>
  <c r="J176" i="1"/>
  <c r="K176" i="1"/>
  <c r="H176" i="1"/>
  <c r="L176" i="1"/>
  <c r="M176" i="1"/>
  <c r="B176" i="1"/>
  <c r="A177" i="1" a="1"/>
  <c r="C175" i="1"/>
  <c r="D177" i="1" l="1"/>
  <c r="E177" i="1"/>
  <c r="F177" i="1"/>
  <c r="I177" i="1"/>
  <c r="G177" i="1"/>
  <c r="H177" i="1"/>
  <c r="J177" i="1"/>
  <c r="K177" i="1"/>
  <c r="L177" i="1"/>
  <c r="M177" i="1"/>
  <c r="B177" i="1"/>
  <c r="A178" i="1" a="1"/>
  <c r="C176" i="1"/>
  <c r="D178" i="1" l="1"/>
  <c r="E178" i="1"/>
  <c r="F178" i="1"/>
  <c r="G178" i="1"/>
  <c r="H178" i="1"/>
  <c r="I178" i="1"/>
  <c r="J178" i="1"/>
  <c r="K178" i="1"/>
  <c r="L178" i="1"/>
  <c r="M178" i="1"/>
  <c r="B178" i="1"/>
  <c r="A179" i="1" a="1"/>
  <c r="C177" i="1"/>
  <c r="K179" i="1" l="1"/>
  <c r="D179" i="1"/>
  <c r="E179" i="1"/>
  <c r="F179" i="1"/>
  <c r="G179" i="1"/>
  <c r="I179" i="1"/>
  <c r="H179" i="1"/>
  <c r="J179" i="1"/>
  <c r="L179" i="1"/>
  <c r="M179" i="1"/>
  <c r="B179" i="1"/>
  <c r="A180" i="1" a="1"/>
  <c r="C178" i="1"/>
  <c r="D180" i="1" l="1"/>
  <c r="E180" i="1"/>
  <c r="F180" i="1"/>
  <c r="G180" i="1"/>
  <c r="H180" i="1"/>
  <c r="I180" i="1"/>
  <c r="J180" i="1"/>
  <c r="K180" i="1"/>
  <c r="L180" i="1"/>
  <c r="M180" i="1"/>
  <c r="B180" i="1"/>
  <c r="A181" i="1" a="1"/>
  <c r="C179" i="1"/>
  <c r="L181" i="1" l="1"/>
  <c r="D181" i="1"/>
  <c r="E181" i="1"/>
  <c r="F181" i="1"/>
  <c r="H181" i="1"/>
  <c r="I181" i="1"/>
  <c r="K181" i="1"/>
  <c r="G181" i="1"/>
  <c r="J181" i="1"/>
  <c r="M181" i="1"/>
  <c r="B181" i="1"/>
  <c r="A182" i="1" a="1"/>
  <c r="C180" i="1"/>
  <c r="D182" i="1" l="1"/>
  <c r="E182" i="1"/>
  <c r="F182" i="1"/>
  <c r="G182" i="1"/>
  <c r="H182" i="1"/>
  <c r="I182" i="1"/>
  <c r="K182" i="1"/>
  <c r="J182" i="1"/>
  <c r="L182" i="1"/>
  <c r="M182" i="1"/>
  <c r="B182" i="1"/>
  <c r="A183" i="1" a="1"/>
  <c r="C181" i="1"/>
  <c r="D183" i="1" l="1"/>
  <c r="E183" i="1"/>
  <c r="F183" i="1"/>
  <c r="G183" i="1"/>
  <c r="H183" i="1"/>
  <c r="I183" i="1"/>
  <c r="J183" i="1"/>
  <c r="L183" i="1"/>
  <c r="K183" i="1"/>
  <c r="M183" i="1"/>
  <c r="B183" i="1"/>
  <c r="A184" i="1" a="1"/>
  <c r="C182" i="1"/>
  <c r="D184" i="1" l="1"/>
  <c r="C184" i="1" s="1"/>
  <c r="E184" i="1"/>
  <c r="F184" i="1"/>
  <c r="G184" i="1"/>
  <c r="H184" i="1"/>
  <c r="I184" i="1"/>
  <c r="J184" i="1"/>
  <c r="K184" i="1"/>
  <c r="L184" i="1"/>
  <c r="M184" i="1"/>
  <c r="B184" i="1"/>
  <c r="A185" i="1" a="1"/>
  <c r="C183" i="1"/>
  <c r="D185" i="1" l="1"/>
  <c r="E185" i="1"/>
  <c r="F185" i="1"/>
  <c r="G185" i="1"/>
  <c r="I185" i="1"/>
  <c r="H185" i="1"/>
  <c r="J185" i="1"/>
  <c r="K185" i="1"/>
  <c r="L185" i="1"/>
  <c r="M185" i="1"/>
  <c r="B185" i="1"/>
  <c r="A186" i="1" a="1"/>
  <c r="D186" i="1" l="1"/>
  <c r="E186" i="1"/>
  <c r="F186" i="1"/>
  <c r="G186" i="1"/>
  <c r="I186" i="1"/>
  <c r="J186" i="1"/>
  <c r="H186" i="1"/>
  <c r="K186" i="1"/>
  <c r="L186" i="1"/>
  <c r="M186" i="1"/>
  <c r="B186" i="1"/>
  <c r="A187" i="1" a="1"/>
  <c r="C185" i="1"/>
  <c r="D187" i="1" l="1"/>
  <c r="E187" i="1"/>
  <c r="F187" i="1"/>
  <c r="H187" i="1"/>
  <c r="G187" i="1"/>
  <c r="I187" i="1"/>
  <c r="J187" i="1"/>
  <c r="K187" i="1"/>
  <c r="L187" i="1"/>
  <c r="M187" i="1"/>
  <c r="B187" i="1"/>
  <c r="A188" i="1" a="1"/>
  <c r="C186" i="1"/>
  <c r="D188" i="1" l="1"/>
  <c r="C188" i="1" s="1"/>
  <c r="E188" i="1"/>
  <c r="F188" i="1"/>
  <c r="G188" i="1"/>
  <c r="H188" i="1"/>
  <c r="I188" i="1"/>
  <c r="J188" i="1"/>
  <c r="K188" i="1"/>
  <c r="L188" i="1"/>
  <c r="M188" i="1"/>
  <c r="B188" i="1"/>
  <c r="A189" i="1" a="1"/>
  <c r="C187" i="1"/>
  <c r="D189" i="1" l="1"/>
  <c r="C189" i="1" s="1"/>
  <c r="E189" i="1"/>
  <c r="F189" i="1"/>
  <c r="G189" i="1"/>
  <c r="I189" i="1"/>
  <c r="J189" i="1"/>
  <c r="K189" i="1"/>
  <c r="H189" i="1"/>
  <c r="L189" i="1"/>
  <c r="M189" i="1"/>
  <c r="B189" i="1"/>
  <c r="A190" i="1" a="1"/>
  <c r="D190" i="1" l="1"/>
  <c r="E190" i="1"/>
  <c r="F190" i="1"/>
  <c r="G190" i="1"/>
  <c r="I190" i="1"/>
  <c r="H190" i="1"/>
  <c r="J190" i="1"/>
  <c r="K190" i="1"/>
  <c r="L190" i="1"/>
  <c r="M190" i="1"/>
  <c r="B190" i="1"/>
  <c r="A191" i="1" a="1"/>
  <c r="D191" i="1" l="1"/>
  <c r="E191" i="1"/>
  <c r="F191" i="1"/>
  <c r="G191" i="1"/>
  <c r="H191" i="1"/>
  <c r="I191" i="1"/>
  <c r="J191" i="1"/>
  <c r="K191" i="1"/>
  <c r="L191" i="1"/>
  <c r="M191" i="1"/>
  <c r="B191" i="1"/>
  <c r="A192" i="1" a="1"/>
  <c r="C190" i="1"/>
  <c r="L192" i="1" l="1"/>
  <c r="D192" i="1"/>
  <c r="E192" i="1"/>
  <c r="F192" i="1"/>
  <c r="G192" i="1"/>
  <c r="H192" i="1"/>
  <c r="I192" i="1"/>
  <c r="J192" i="1"/>
  <c r="K192" i="1"/>
  <c r="M192" i="1"/>
  <c r="B192" i="1"/>
  <c r="A193" i="1" a="1"/>
  <c r="C191" i="1"/>
  <c r="E193" i="1" l="1"/>
  <c r="F193" i="1"/>
  <c r="G193" i="1"/>
  <c r="H193" i="1"/>
  <c r="I193" i="1"/>
  <c r="J193" i="1"/>
  <c r="K193" i="1"/>
  <c r="L193" i="1"/>
  <c r="M193" i="1"/>
  <c r="B193" i="1"/>
  <c r="D193" i="1"/>
  <c r="C193" i="1" s="1"/>
  <c r="A194" i="1" a="1"/>
  <c r="C192" i="1"/>
  <c r="D194" i="1" l="1"/>
  <c r="C194" i="1" s="1"/>
  <c r="E194" i="1"/>
  <c r="F194" i="1"/>
  <c r="G194" i="1"/>
  <c r="H194" i="1"/>
  <c r="I194" i="1"/>
  <c r="J194" i="1"/>
  <c r="K194" i="1"/>
  <c r="L194" i="1"/>
  <c r="M194" i="1"/>
  <c r="B194" i="1"/>
  <c r="A195" i="1" a="1"/>
  <c r="D195" i="1" l="1"/>
  <c r="E195" i="1"/>
  <c r="F195" i="1"/>
  <c r="G195" i="1"/>
  <c r="H195" i="1"/>
  <c r="I195" i="1"/>
  <c r="J195" i="1"/>
  <c r="K195" i="1"/>
  <c r="L195" i="1"/>
  <c r="M195" i="1"/>
  <c r="B195" i="1"/>
  <c r="A196" i="1" a="1"/>
  <c r="D196" i="1" l="1"/>
  <c r="C196" i="1" s="1"/>
  <c r="E196" i="1"/>
  <c r="F196" i="1"/>
  <c r="G196" i="1"/>
  <c r="H196" i="1"/>
  <c r="I196" i="1"/>
  <c r="J196" i="1"/>
  <c r="K196" i="1"/>
  <c r="L196" i="1"/>
  <c r="M196" i="1"/>
  <c r="B196" i="1"/>
  <c r="A197" i="1" a="1"/>
  <c r="C195" i="1"/>
  <c r="D197" i="1" l="1"/>
  <c r="C197" i="1" s="1"/>
  <c r="E197" i="1"/>
  <c r="F197" i="1"/>
  <c r="G197" i="1"/>
  <c r="H197" i="1"/>
  <c r="I197" i="1"/>
  <c r="J197" i="1"/>
  <c r="K197" i="1"/>
  <c r="L197" i="1"/>
  <c r="M197" i="1"/>
  <c r="B197" i="1"/>
  <c r="A198" i="1" a="1"/>
  <c r="D198" i="1" l="1"/>
  <c r="E198" i="1"/>
  <c r="F198" i="1"/>
  <c r="H198" i="1"/>
  <c r="I198" i="1"/>
  <c r="G198" i="1"/>
  <c r="K198" i="1"/>
  <c r="J198" i="1"/>
  <c r="L198" i="1"/>
  <c r="M198" i="1"/>
  <c r="B198" i="1"/>
  <c r="A199" i="1" a="1"/>
  <c r="D199" i="1" l="1"/>
  <c r="F199" i="1"/>
  <c r="E199" i="1"/>
  <c r="G199" i="1"/>
  <c r="H199" i="1"/>
  <c r="I199" i="1"/>
  <c r="J199" i="1"/>
  <c r="K199" i="1"/>
  <c r="L199" i="1"/>
  <c r="M199" i="1"/>
  <c r="B199" i="1"/>
  <c r="A200" i="1" a="1"/>
  <c r="C198" i="1"/>
  <c r="D200" i="1" l="1"/>
  <c r="F200" i="1"/>
  <c r="E200" i="1"/>
  <c r="H200" i="1"/>
  <c r="I200" i="1"/>
  <c r="J200" i="1"/>
  <c r="K200" i="1"/>
  <c r="L200" i="1"/>
  <c r="M200" i="1"/>
  <c r="G200" i="1"/>
  <c r="B200" i="1"/>
  <c r="A201" i="1" a="1"/>
  <c r="C199" i="1"/>
  <c r="D201" i="1" l="1"/>
  <c r="C201" i="1" s="1"/>
  <c r="E201" i="1"/>
  <c r="F201" i="1"/>
  <c r="G201" i="1"/>
  <c r="H201" i="1"/>
  <c r="I201" i="1"/>
  <c r="J201" i="1"/>
  <c r="K201" i="1"/>
  <c r="L201" i="1"/>
  <c r="M201" i="1"/>
  <c r="B201" i="1"/>
  <c r="C20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<sst xmlns="http://schemas.openxmlformats.org/spreadsheetml/2006/main" count="16" uniqueCount="16">
  <si>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x</t>
  </si>
  <si>
    <t>f(x) = x^5</t>
  </si>
  <si>
    <t>Serie Fourier (N=10)</t>
  </si>
  <si>
    <t>Término n=1</t>
  </si>
  <si>
    <t>Término n=2</t>
  </si>
  <si>
    <t>Término n=3</t>
  </si>
  <si>
    <t>Término n=4</t>
  </si>
  <si>
    <t>Término n=5</t>
  </si>
  <si>
    <t>Término n=6</t>
  </si>
  <si>
    <t>Término n=7</t>
  </si>
  <si>
    <t>Término n=8</t>
  </si>
  <si>
    <t>Término n=9</t>
  </si>
  <si>
    <t>Término n=10</t>
  </si>
  <si>
    <t>n</t>
  </si>
  <si>
    <t>Coeficiente b_n</t>
  </si>
  <si>
    <t>Salto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</si>
</sst>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2" formatCode="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rgb="FF000000"/>
      <name val="-webkit-standard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2F5597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2" fontId="0" fillId="3" borderId="0" xfId="0" applyNumberFormat="1" applyFill="1"/>
    <xf numFmtId="172" fontId="0" fillId="0" borderId="0" xfId="0" applyNumberFormat="1"/>
    <xf numFmtId="0" fontId="1" fillId="2" borderId="0" xfId="0" applyFont="1" applyFill="1" applyAlignment="1">
      <alignment horizontal="center" wrapText="1"/>
    </xf>
    <xf numFmtId="170" fontId="0" fillId="4" borderId="0" xfId="0" applyNumberFormat="1" applyFill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F5597"/>
          <bgColor theme="1"/>
        </patternFill>
      </fill>
      <alignment horizontal="center" vertical="bottom" textRotation="0" wrapText="1" indent="0" justifyLastLine="0" shrinkToFit="0" readingOrder="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F5597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Comparación: f(x) = x^5 vs Serie de Fourier (N=10)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Función Real f(x) = x^5</c:v>
          </c:tx>
          <c:spPr>
            <a:ln w="9525" cap="rnd">
              <a:solidFill>
                <a:schemeClr val="accent3">
                  <a:tint val="8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Serie_Fourier_Said_Carbot!$B$2:$B$201</c:f>
              <c:numCache>
                <c:formatCode>0.0000</c:formatCode>
                <c:ptCount val="200"/>
                <c:pt idx="0" formatCode="0.0">
                  <c:v>-306.01968478528141</c:v>
                </c:pt>
                <c:pt idx="1">
                  <c:v>-290.94782318186714</c:v>
                </c:pt>
                <c:pt idx="2" formatCode="0.0">
                  <c:v>-276.47574578730018</c:v>
                </c:pt>
                <c:pt idx="3" formatCode="0.0">
                  <c:v>-262.58537050992004</c:v>
                </c:pt>
                <c:pt idx="4" formatCode="0.0">
                  <c:v>-249.25898238802165</c:v>
                </c:pt>
                <c:pt idx="5" formatCode="0.0">
                  <c:v>-236.4792298244202</c:v>
                </c:pt>
                <c:pt idx="6" formatCode="0.0">
                  <c:v>-224.22912082101485</c:v>
                </c:pt>
                <c:pt idx="7" formatCode="0.0">
                  <c:v>-212.4920192133541</c:v>
                </c:pt>
                <c:pt idx="8" formatCode="0.0">
                  <c:v>-201.25164090520019</c:v>
                </c:pt>
                <c:pt idx="9" formatCode="0.0">
                  <c:v>-190.49205010309313</c:v>
                </c:pt>
                <c:pt idx="10" formatCode="0.0">
                  <c:v>-180.19765555091584</c:v>
                </c:pt>
                <c:pt idx="11" formatCode="0.0">
                  <c:v>-170.35320676445872</c:v>
                </c:pt>
                <c:pt idx="12" formatCode="0.0">
                  <c:v>-160.94379026598369</c:v>
                </c:pt>
                <c:pt idx="13" formatCode="0.0">
                  <c:v>-151.95482581878935</c:v>
                </c:pt>
                <c:pt idx="14" formatCode="0.0">
                  <c:v>-143.37206266177495</c:v>
                </c:pt>
                <c:pt idx="15" formatCode="0.0">
                  <c:v>-135.18157574400561</c:v>
                </c:pt>
                <c:pt idx="16" formatCode="0.0">
                  <c:v>-127.36976195927626</c:v>
                </c:pt>
                <c:pt idx="17" formatCode="0.0">
                  <c:v>-119.92333638067667</c:v>
                </c:pt>
                <c:pt idx="18" formatCode="0.0">
                  <c:v>-112.82932849515571</c:v>
                </c:pt>
                <c:pt idx="19" formatCode="0.0">
                  <c:v>-106.07507843808601</c:v>
                </c:pt>
                <c:pt idx="20" formatCode="0.0">
                  <c:v>-99.648233227828598</c:v>
                </c:pt>
                <c:pt idx="21" formatCode="0.0">
                  <c:v>-93.536743000297335</c:v>
                </c:pt>
                <c:pt idx="22" formatCode="0.0">
                  <c:v>-87.728857243523521</c:v>
                </c:pt>
                <c:pt idx="23" formatCode="0.0">
                  <c:v>-82.213121032220513</c:v>
                </c:pt>
                <c:pt idx="24" formatCode="0.0">
                  <c:v>-76.978371262348205</c:v>
                </c:pt>
                <c:pt idx="25" formatCode="0.0">
                  <c:v>-72.013732885677612</c:v>
                </c:pt>
                <c:pt idx="26" formatCode="0.0">
                  <c:v>-67.308615144355457</c:v>
                </c:pt>
                <c:pt idx="27" formatCode="0.0">
                  <c:v>-62.852707805468704</c:v>
                </c:pt>
                <c:pt idx="28" formatCode="0.0">
                  <c:v>-58.635977395609153</c:v>
                </c:pt>
                <c:pt idx="29" formatCode="0.0">
                  <c:v>-54.648663435437911</c:v>
                </c:pt>
                <c:pt idx="30" formatCode="0.0">
                  <c:v>-50.881274674250072</c:v>
                </c:pt>
                <c:pt idx="31" formatCode="0.0">
                  <c:v>-47.324585324539228</c:v>
                </c:pt>
                <c:pt idx="32" formatCode="0.0">
                  <c:v>-43.969631296561964</c:v>
                </c:pt>
                <c:pt idx="33" formatCode="0.0">
                  <c:v>-40.807706432902542</c:v>
                </c:pt>
                <c:pt idx="34" formatCode="0.0">
                  <c:v>-37.830358743037351</c:v>
                </c:pt>
                <c:pt idx="35" formatCode="0.0">
                  <c:v>-35.029386637899513</c:v>
                </c:pt>
                <c:pt idx="36" formatCode="0.0">
                  <c:v>-32.396835164443495</c:v>
                </c:pt>
                <c:pt idx="37" formatCode="0.0">
                  <c:v>-29.924992240209566</c:v>
                </c:pt>
                <c:pt idx="38" formatCode="0.0">
                  <c:v>-27.60638488788841</c:v>
                </c:pt>
                <c:pt idx="39" formatCode="0.0">
                  <c:v>-25.433775469885727</c:v>
                </c:pt>
                <c:pt idx="40" formatCode="0.0">
                  <c:v>-23.400157922886702</c:v>
                </c:pt>
                <c:pt idx="41" formatCode="0.0">
                  <c:v>-21.498753992420657</c:v>
                </c:pt>
                <c:pt idx="42" formatCode="0.0">
                  <c:v>-19.723009467425534</c:v>
                </c:pt>
                <c:pt idx="43" formatCode="0.0">
                  <c:v>-18.066590414812524</c:v>
                </c:pt>
                <c:pt idx="44" formatCode="0.0">
                  <c:v>-16.523379414030572</c:v>
                </c:pt>
                <c:pt idx="45" formatCode="0.0">
                  <c:v>-15.087471791630971</c:v>
                </c:pt>
                <c:pt idx="46" formatCode="0.0">
                  <c:v>-13.753171855831901</c:v>
                </c:pt>
                <c:pt idx="47" formatCode="0.0">
                  <c:v>-12.514989131083016</c:v>
                </c:pt>
                <c:pt idx="48" formatCode="0.0">
                  <c:v>-11.367634592629972</c:v>
                </c:pt>
                <c:pt idx="49" formatCode="0.0">
                  <c:v>-10.306016901079014</c:v>
                </c:pt>
                <c:pt idx="50" formatCode="0.0">
                  <c:v>-9.325238636961517</c:v>
                </c:pt>
                <c:pt idx="51" formatCode="0.0">
                  <c:v>-8.4205925352985638</c:v>
                </c:pt>
                <c:pt idx="52" formatCode="0.0">
                  <c:v>-7.5875577201654911</c:v>
                </c:pt>
                <c:pt idx="53" formatCode="0.0">
                  <c:v>-6.8217959392564653</c:v>
                </c:pt>
                <c:pt idx="54" formatCode="0.0">
                  <c:v>-6.1191477984490215</c:v>
                </c:pt>
                <c:pt idx="55" formatCode="0.0">
                  <c:v>-5.4756289963686386</c:v>
                </c:pt>
                <c:pt idx="56" formatCode="0.0">
                  <c:v>-4.8874265589533055</c:v>
                </c:pt>
                <c:pt idx="57" formatCode="0.0">
                  <c:v>-4.3508950740180623</c:v>
                </c:pt>
                <c:pt idx="58" formatCode="0.0">
                  <c:v>-3.8625529258195788</c:v>
                </c:pt>
                <c:pt idx="59" formatCode="0.0">
                  <c:v>-3.4190785296207031</c:v>
                </c:pt>
                <c:pt idx="60" formatCode="0.0">
                  <c:v>-3.0173065662550274</c:v>
                </c:pt>
                <c:pt idx="61" formatCode="0.0">
                  <c:v>-2.6542242166914485</c:v>
                </c:pt>
                <c:pt idx="62" formatCode="0.0">
                  <c:v>-2.3269673965987279</c:v>
                </c:pt>
                <c:pt idx="63" formatCode="0.0">
                  <c:v>-2.0328169909100477</c:v>
                </c:pt>
                <c:pt idx="64" formatCode="0.0">
                  <c:v>-1.7691950883875776</c:v>
                </c:pt>
                <c:pt idx="65" formatCode="0.0">
                  <c:v>-1.5336612161870327</c:v>
                </c:pt>
                <c:pt idx="66" formatCode="0.0">
                  <c:v>-1.3239085744222316</c:v>
                </c:pt>
                <c:pt idx="67" formatCode="0.0">
                  <c:v>-1.1377602707296608</c:v>
                </c:pt>
                <c:pt idx="68" formatCode="0.0">
                  <c:v>-0.97316555483303102</c:v>
                </c:pt>
                <c:pt idx="69" formatCode="0.0">
                  <c:v>-0.82819605310784217</c:v>
                </c:pt>
                <c:pt idx="70" formatCode="0.0">
                  <c:v>-0.70104200314594001</c:v>
                </c:pt>
                <c:pt idx="71" formatCode="0.0">
                  <c:v>-0.59000848832007802</c:v>
                </c:pt>
                <c:pt idx="72" formatCode="0.0">
                  <c:v>-0.4935116723484777</c:v>
                </c:pt>
                <c:pt idx="73" formatCode="0.0">
                  <c:v>-0.4100750338593887</c:v>
                </c:pt>
                <c:pt idx="74" formatCode="0.0">
                  <c:v>-0.33832560095564979</c:v>
                </c:pt>
                <c:pt idx="75" formatCode="0.0">
                  <c:v>-0.27699018577924872</c:v>
                </c:pt>
                <c:pt idx="76" formatCode="0.0">
                  <c:v>-0.22489161907588293</c:v>
                </c:pt>
                <c:pt idx="77" formatCode="0.0">
                  <c:v>-0.18094498475951981</c:v>
                </c:pt>
                <c:pt idx="78" formatCode="0.0">
                  <c:v>-0.14415385447695728</c:v>
                </c:pt>
                <c:pt idx="79" formatCode="0.0">
                  <c:v>-0.11360652217238394</c:v>
                </c:pt>
                <c:pt idx="80" formatCode="0.0">
                  <c:v>-8.8472238651939747E-2</c:v>
                </c:pt>
                <c:pt idx="81" formatCode="0.0">
                  <c:v>-6.7997446148276242E-2</c:v>
                </c:pt>
                <c:pt idx="82" formatCode="0.0">
                  <c:v>-5.1502012885117077E-2</c:v>
                </c:pt>
                <c:pt idx="83" formatCode="0.0">
                  <c:v>-3.837546764181831E-2</c:v>
                </c:pt>
                <c:pt idx="84" formatCode="0.0">
                  <c:v>-2.8073234317928866E-2</c:v>
                </c:pt>
                <c:pt idx="85" formatCode="0.0">
                  <c:v>-2.011286649775099E-2</c:v>
                </c:pt>
                <c:pt idx="86" formatCode="0.0">
                  <c:v>-1.4070282014900567E-2</c:v>
                </c:pt>
                <c:pt idx="87" formatCode="0.0">
                  <c:v>-9.5759975168675879E-3</c:v>
                </c:pt>
                <c:pt idx="88" formatCode="0.0">
                  <c:v>-6.3113630295765404E-3</c:v>
                </c:pt>
                <c:pt idx="89" formatCode="0.0">
                  <c:v>-4.0047965219468145E-3</c:v>
                </c:pt>
                <c:pt idx="90" formatCode="0.0">
                  <c:v>-2.4280184704531201E-3</c:v>
                </c:pt>
                <c:pt idx="91" formatCode="0.0">
                  <c:v>-1.3922864236858813E-3</c:v>
                </c:pt>
                <c:pt idx="92" formatCode="0.0">
                  <c:v>-7.4462956691165295E-4</c:v>
                </c:pt>
                <c:pt idx="93" formatCode="0.0">
                  <c:v>-3.6408328663352466E-4</c:v>
                </c:pt>
                <c:pt idx="94" formatCode="0.0">
                  <c:v>-1.5792373515153001E-4</c:v>
                </c:pt>
                <c:pt idx="95" formatCode="0.0">
                  <c:v>-5.7902395123054097E-5</c:v>
                </c:pt>
                <c:pt idx="96" formatCode="0.0">
                  <c:v>-1.6480644123240315E-5</c:v>
                </c:pt>
                <c:pt idx="97" formatCode="0.0">
                  <c:v>-3.0643192053983758E-6</c:v>
                </c:pt>
                <c:pt idx="98" formatCode="0.0">
                  <c:v>-2.3828146141182646E-7</c:v>
                </c:pt>
                <c:pt idx="99" formatCode="0.0">
                  <c:v>-9.8058214572868375E-10</c:v>
                </c:pt>
                <c:pt idx="100" formatCode="0.0">
                  <c:v>9.8058214572567529E-10</c:v>
                </c:pt>
                <c:pt idx="101" formatCode="0.0">
                  <c:v>2.3828146141158275E-7</c:v>
                </c:pt>
                <c:pt idx="102" formatCode="0.0">
                  <c:v>3.0643192053964958E-6</c:v>
                </c:pt>
                <c:pt idx="103" formatCode="0.0">
                  <c:v>1.6480644123233092E-5</c:v>
                </c:pt>
                <c:pt idx="104" formatCode="0.0">
                  <c:v>5.7902395123034344E-5</c:v>
                </c:pt>
                <c:pt idx="105" formatCode="0.0">
                  <c:v>1.5792373515148594E-4</c:v>
                </c:pt>
                <c:pt idx="106" formatCode="0.0">
                  <c:v>3.6408328663343874E-4</c:v>
                </c:pt>
                <c:pt idx="107" formatCode="0.0">
                  <c:v>7.4462956691150062E-4</c:v>
                </c:pt>
                <c:pt idx="108" formatCode="0.0">
                  <c:v>1.3922864236856312E-3</c:v>
                </c:pt>
                <c:pt idx="109" formatCode="0.0">
                  <c:v>2.4280184704527294E-3</c:v>
                </c:pt>
                <c:pt idx="110" formatCode="0.0">
                  <c:v>4.0047965219462316E-3</c:v>
                </c:pt>
                <c:pt idx="111" formatCode="0.0">
                  <c:v>6.3113630295756999E-3</c:v>
                </c:pt>
                <c:pt idx="112" formatCode="0.0">
                  <c:v>9.5759975168664153E-3</c:v>
                </c:pt>
                <c:pt idx="113" formatCode="0.0">
                  <c:v>1.4070282014898971E-2</c:v>
                </c:pt>
                <c:pt idx="114" formatCode="0.0">
                  <c:v>2.0112866497748873E-2</c:v>
                </c:pt>
                <c:pt idx="115" formatCode="0.0">
                  <c:v>2.8073234317926105E-2</c:v>
                </c:pt>
                <c:pt idx="116" formatCode="0.0">
                  <c:v>3.8375467641814737E-2</c:v>
                </c:pt>
                <c:pt idx="117" formatCode="0.0">
                  <c:v>5.150201288511258E-2</c:v>
                </c:pt>
                <c:pt idx="118" formatCode="0.0">
                  <c:v>6.7997446148270621E-2</c:v>
                </c:pt>
                <c:pt idx="119" formatCode="0.0">
                  <c:v>8.847223865193278E-2</c:v>
                </c:pt>
                <c:pt idx="120" formatCode="0.0">
                  <c:v>0.11360652217237546</c:v>
                </c:pt>
                <c:pt idx="121" formatCode="0.0">
                  <c:v>0.14415385447694704</c:v>
                </c:pt>
                <c:pt idx="122" formatCode="0.0">
                  <c:v>0.18094498475950757</c:v>
                </c:pt>
                <c:pt idx="123" formatCode="0.0">
                  <c:v>0.2248916190758683</c:v>
                </c:pt>
                <c:pt idx="124" formatCode="0.0">
                  <c:v>0.27699018577923151</c:v>
                </c:pt>
                <c:pt idx="125" formatCode="0.0">
                  <c:v>0.33832560095562952</c:v>
                </c:pt>
                <c:pt idx="126" formatCode="0.0">
                  <c:v>0.41007503385936511</c:v>
                </c:pt>
                <c:pt idx="127" formatCode="0.0">
                  <c:v>0.49351167234845023</c:v>
                </c:pt>
                <c:pt idx="128" formatCode="0.0">
                  <c:v>0.59000848832004638</c:v>
                </c:pt>
                <c:pt idx="129" formatCode="0.0">
                  <c:v>0.70104200314590359</c:v>
                </c:pt>
                <c:pt idx="130" formatCode="0.0">
                  <c:v>0.82819605310780053</c:v>
                </c:pt>
                <c:pt idx="131" formatCode="0.0">
                  <c:v>0.97316555483298384</c:v>
                </c:pt>
                <c:pt idx="132" formatCode="0.0">
                  <c:v>1.1377602707296066</c:v>
                </c:pt>
                <c:pt idx="133" formatCode="0.0">
                  <c:v>1.3239085744221706</c:v>
                </c:pt>
                <c:pt idx="134" formatCode="0.0">
                  <c:v>1.5336612161869638</c:v>
                </c:pt>
                <c:pt idx="135" formatCode="0.0">
                  <c:v>1.7691950883875009</c:v>
                </c:pt>
                <c:pt idx="136" formatCode="0.0">
                  <c:v>2.0328169909099612</c:v>
                </c:pt>
                <c:pt idx="137" formatCode="0.0">
                  <c:v>2.3269673965986319</c:v>
                </c:pt>
                <c:pt idx="138" formatCode="0.0">
                  <c:v>2.6542242166913419</c:v>
                </c:pt>
                <c:pt idx="139" formatCode="0.0">
                  <c:v>3.0173065662549088</c:v>
                </c:pt>
                <c:pt idx="140" formatCode="0.0">
                  <c:v>3.4190785296205721</c:v>
                </c:pt>
                <c:pt idx="141" formatCode="0.0">
                  <c:v>3.8625529258194344</c:v>
                </c:pt>
                <c:pt idx="142" formatCode="0.0">
                  <c:v>4.3508950740179042</c:v>
                </c:pt>
                <c:pt idx="143" formatCode="0.0">
                  <c:v>4.8874265589531314</c:v>
                </c:pt>
                <c:pt idx="144" formatCode="0.0">
                  <c:v>5.4756289963684477</c:v>
                </c:pt>
                <c:pt idx="145" formatCode="0.0">
                  <c:v>6.1191477984488136</c:v>
                </c:pt>
                <c:pt idx="146" formatCode="0.0">
                  <c:v>6.821795939256238</c:v>
                </c:pt>
                <c:pt idx="147" formatCode="0.0">
                  <c:v>7.5875577201652451</c:v>
                </c:pt>
                <c:pt idx="148" formatCode="0.0">
                  <c:v>8.4205925352982938</c:v>
                </c:pt>
                <c:pt idx="149" formatCode="0.0">
                  <c:v>9.3252386369612239</c:v>
                </c:pt>
                <c:pt idx="150" formatCode="0.0">
                  <c:v>10.306016901078696</c:v>
                </c:pt>
                <c:pt idx="151" formatCode="0.0">
                  <c:v>11.367634592629633</c:v>
                </c:pt>
                <c:pt idx="152" formatCode="0.0">
                  <c:v>12.514989131082647</c:v>
                </c:pt>
                <c:pt idx="153" formatCode="0.0">
                  <c:v>13.753171855831507</c:v>
                </c:pt>
                <c:pt idx="154" formatCode="0.0">
                  <c:v>15.087471791630543</c:v>
                </c:pt>
                <c:pt idx="155" formatCode="0.0">
                  <c:v>16.523379414030114</c:v>
                </c:pt>
                <c:pt idx="156" formatCode="0.0">
                  <c:v>18.06659041481203</c:v>
                </c:pt>
                <c:pt idx="157" formatCode="0.0">
                  <c:v>19.723009467425001</c:v>
                </c:pt>
                <c:pt idx="158" formatCode="0.0">
                  <c:v>21.498753992420081</c:v>
                </c:pt>
                <c:pt idx="159" formatCode="0.0">
                  <c:v>23.400157922886095</c:v>
                </c:pt>
                <c:pt idx="160" formatCode="0.0">
                  <c:v>25.433775469885074</c:v>
                </c:pt>
                <c:pt idx="161" formatCode="0.0">
                  <c:v>27.606384887887721</c:v>
                </c:pt>
                <c:pt idx="162" formatCode="0.0">
                  <c:v>29.924992240208823</c:v>
                </c:pt>
                <c:pt idx="163" formatCode="0.0">
                  <c:v>32.396835164442713</c:v>
                </c:pt>
                <c:pt idx="164" formatCode="0.0">
                  <c:v>35.029386637898675</c:v>
                </c:pt>
                <c:pt idx="165" formatCode="0.0">
                  <c:v>37.830358743036442</c:v>
                </c:pt>
                <c:pt idx="166" formatCode="0.0">
                  <c:v>40.80770643290159</c:v>
                </c:pt>
                <c:pt idx="167" formatCode="0.0">
                  <c:v>43.969631296560976</c:v>
                </c:pt>
                <c:pt idx="168" formatCode="0.0">
                  <c:v>47.32458532453817</c:v>
                </c:pt>
                <c:pt idx="169" formatCode="0.0">
                  <c:v>50.881274674248942</c:v>
                </c:pt>
                <c:pt idx="170" formatCode="0.0">
                  <c:v>54.648663435436717</c:v>
                </c:pt>
                <c:pt idx="171" formatCode="0.0">
                  <c:v>58.635977395607867</c:v>
                </c:pt>
                <c:pt idx="172" formatCode="0.0">
                  <c:v>62.852707805467368</c:v>
                </c:pt>
                <c:pt idx="173" formatCode="0.0">
                  <c:v>67.308615144354036</c:v>
                </c:pt>
                <c:pt idx="174" formatCode="0.0">
                  <c:v>72.01373288567612</c:v>
                </c:pt>
                <c:pt idx="175" formatCode="0.0">
                  <c:v>76.978371262346613</c:v>
                </c:pt>
                <c:pt idx="176" formatCode="0.0">
                  <c:v>82.213121032218822</c:v>
                </c:pt>
                <c:pt idx="177" formatCode="0.0">
                  <c:v>87.728857243521773</c:v>
                </c:pt>
                <c:pt idx="178" formatCode="0.0">
                  <c:v>93.536743000295459</c:v>
                </c:pt>
                <c:pt idx="179" formatCode="0.0">
                  <c:v>99.648233227826651</c:v>
                </c:pt>
                <c:pt idx="180" formatCode="0.0">
                  <c:v>106.07507843808398</c:v>
                </c:pt>
                <c:pt idx="181" formatCode="0.0">
                  <c:v>112.82932849515358</c:v>
                </c:pt>
                <c:pt idx="182" formatCode="0.0">
                  <c:v>119.92333638067444</c:v>
                </c:pt>
                <c:pt idx="183" formatCode="0.0">
                  <c:v>127.36976195927392</c:v>
                </c:pt>
                <c:pt idx="184" formatCode="0.0">
                  <c:v>135.18157574400314</c:v>
                </c:pt>
                <c:pt idx="185" formatCode="0.0">
                  <c:v>143.37206266177236</c:v>
                </c:pt>
                <c:pt idx="186" formatCode="0.0">
                  <c:v>151.95482581878662</c:v>
                </c:pt>
                <c:pt idx="187" formatCode="0.0">
                  <c:v>160.94379026598085</c:v>
                </c:pt>
                <c:pt idx="188" formatCode="0.0">
                  <c:v>170.35320676445576</c:v>
                </c:pt>
                <c:pt idx="189" formatCode="0.0">
                  <c:v>180.19765555091274</c:v>
                </c:pt>
                <c:pt idx="190" formatCode="0.0">
                  <c:v>190.49205010308981</c:v>
                </c:pt>
                <c:pt idx="191" formatCode="0.0">
                  <c:v>201.25164090519675</c:v>
                </c:pt>
                <c:pt idx="192" formatCode="0.0">
                  <c:v>212.49201921335057</c:v>
                </c:pt>
                <c:pt idx="193" formatCode="0.0">
                  <c:v>224.22912082101109</c:v>
                </c:pt>
                <c:pt idx="194" formatCode="0.0">
                  <c:v>236.47922982441628</c:v>
                </c:pt>
                <c:pt idx="195" formatCode="0.0">
                  <c:v>249.25898238801764</c:v>
                </c:pt>
                <c:pt idx="196" formatCode="0.0">
                  <c:v>262.58537050991578</c:v>
                </c:pt>
                <c:pt idx="197" formatCode="0.0">
                  <c:v>276.47574578729581</c:v>
                </c:pt>
                <c:pt idx="198" formatCode="0.0">
                  <c:v>290.94782318186253</c:v>
                </c:pt>
                <c:pt idx="199" formatCode="0.0">
                  <c:v>306.01968478527658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E7-A54F-A057-F7FC93CBFCA7}"/>
            </c:ext>
          </c:extLst>
        </c:ser>
        <c:ser>
          <c:idx val="3"/>
          <c:order val="1"/>
          <c:tx>
            <c:v>Serie de Fourier (10 términos)</c:v>
          </c:tx>
          <c:spPr>
            <a:ln w="9525" cap="rnd">
              <a:solidFill>
                <a:schemeClr val="accent3">
                  <a:tint val="58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Serie_Fourier_Said_Carbot!$C$2:$C$201</c:f>
              <c:numCache>
                <c:formatCode>0.0000</c:formatCode>
                <c:ptCount val="200"/>
                <c:pt idx="0" formatCode="0.0">
                  <c:v>-1.954593634191964E-13</c:v>
                </c:pt>
                <c:pt idx="1">
                  <c:v>-50.019787339382404</c:v>
                </c:pt>
                <c:pt idx="2" formatCode="0.0">
                  <c:v>-97.828518090434628</c:v>
                </c:pt>
                <c:pt idx="3" formatCode="0.0">
                  <c:v>-141.36143790597185</c:v>
                </c:pt>
                <c:pt idx="4" formatCode="0.0">
                  <c:v>-178.83505768332418</c:v>
                </c:pt>
                <c:pt idx="5" formatCode="0.0">
                  <c:v>-208.86038973676779</c:v>
                </c:pt>
                <c:pt idx="6" formatCode="0.0">
                  <c:v>-230.52588914059828</c:v>
                </c:pt>
                <c:pt idx="7" formatCode="0.0">
                  <c:v>-243.44405998751051</c:v>
                </c:pt>
                <c:pt idx="8" formatCode="0.0">
                  <c:v>-247.75870076130934</c:v>
                </c:pt>
                <c:pt idx="9" formatCode="0.0">
                  <c:v>-244.11300113458086</c:v>
                </c:pt>
                <c:pt idx="10" formatCode="0.0">
                  <c:v>-233.58188331506236</c:v>
                </c:pt>
                <c:pt idx="11" formatCode="0.0">
                  <c:v>-217.57483094766988</c:v>
                </c:pt>
                <c:pt idx="12" formatCode="0.0">
                  <c:v>-197.71772564342368</c:v>
                </c:pt>
                <c:pt idx="13" formatCode="0.0">
                  <c:v>-175.72372668103407</c:v>
                </c:pt>
                <c:pt idx="14" formatCode="0.0">
                  <c:v>-153.26386405113013</c:v>
                </c:pt>
                <c:pt idx="15" formatCode="0.0">
                  <c:v>-131.84772897555402</c:v>
                </c:pt>
                <c:pt idx="16" formatCode="0.0">
                  <c:v>-112.72348159593908</c:v>
                </c:pt>
                <c:pt idx="17" formatCode="0.0">
                  <c:v>-96.804472150665717</c:v>
                </c:pt>
                <c:pt idx="18" formatCode="0.0">
                  <c:v>-84.627274468498541</c:v>
                </c:pt>
                <c:pt idx="19" formatCode="0.0">
                  <c:v>-76.343091520646482</c:v>
                </c:pt>
                <c:pt idx="20" formatCode="0.0">
                  <c:v>-71.741570527577466</c:v>
                </c:pt>
                <c:pt idx="21" formatCode="0.0">
                  <c:v>-70.303320220080138</c:v>
                </c:pt>
                <c:pt idx="22" formatCode="0.0">
                  <c:v>-71.275094201237721</c:v>
                </c:pt>
                <c:pt idx="23" formatCode="0.0">
                  <c:v>-73.759887901423227</c:v>
                </c:pt>
                <c:pt idx="24" formatCode="0.0">
                  <c:v>-76.813228343735531</c:v>
                </c:pt>
                <c:pt idx="25" formatCode="0.0">
                  <c:v>-79.536780637177685</c:v>
                </c:pt>
                <c:pt idx="26" formatCode="0.0">
                  <c:v>-81.161041956285118</c:v>
                </c:pt>
                <c:pt idx="27" formatCode="0.0">
                  <c:v>-81.110258929404665</c:v>
                </c:pt>
                <c:pt idx="28" formatCode="0.0">
                  <c:v>-79.044640401544655</c:v>
                </c:pt>
                <c:pt idx="29" formatCode="0.0">
                  <c:v>-74.877248497208384</c:v>
                </c:pt>
                <c:pt idx="30" formatCode="0.0">
                  <c:v>-68.765411620565004</c:v>
                </c:pt>
                <c:pt idx="31" formatCode="0.0">
                  <c:v>-61.078880792020747</c:v>
                </c:pt>
                <c:pt idx="32" formatCode="0.0">
                  <c:v>-52.349027205552851</c:v>
                </c:pt>
                <c:pt idx="33" formatCode="0.0">
                  <c:v>-43.204970251124877</c:v>
                </c:pt>
                <c:pt idx="34" formatCode="0.0">
                  <c:v>-34.30349852905254</c:v>
                </c:pt>
                <c:pt idx="35" formatCode="0.0">
                  <c:v>-26.259930785785915</c:v>
                </c:pt>
                <c:pt idx="36" formatCode="0.0">
                  <c:v>-19.586655686031996</c:v>
                </c:pt>
                <c:pt idx="37" formatCode="0.0">
                  <c:v>-14.645051243942296</c:v>
                </c:pt>
                <c:pt idx="38" formatCode="0.0">
                  <c:v>-11.614937148540854</c:v>
                </c:pt>
                <c:pt idx="39" formatCode="0.0">
                  <c:v>-10.48382193507701</c:v>
                </c:pt>
                <c:pt idx="40" formatCode="0.0">
                  <c:v>-11.056165928795574</c:v>
                </c:pt>
                <c:pt idx="41" formatCode="0.0">
                  <c:v>-12.980892850634991</c:v>
                </c:pt>
                <c:pt idx="42" formatCode="0.0">
                  <c:v>-15.793639647467097</c:v>
                </c:pt>
                <c:pt idx="43" formatCode="0.0">
                  <c:v>-18.968897935675816</c:v>
                </c:pt>
                <c:pt idx="44" formatCode="0.0">
                  <c:v>-21.97638956923867</c:v>
                </c:pt>
                <c:pt idx="45" formatCode="0.0">
                  <c:v>-24.335796725014884</c:v>
                </c:pt>
                <c:pt idx="46" formatCode="0.0">
                  <c:v>-25.664337497572745</c:v>
                </c:pt>
                <c:pt idx="47" formatCode="0.0">
                  <c:v>-25.712586859555458</c:v>
                </c:pt>
                <c:pt idx="48" formatCode="0.0">
                  <c:v>-24.38528388571072</c:v>
                </c:pt>
                <c:pt idx="49" formatCode="0.0">
                  <c:v>-21.745493338235175</c:v>
                </c:pt>
                <c:pt idx="50" formatCode="0.0">
                  <c:v>-18.002232478414992</c:v>
                </c:pt>
                <c:pt idx="51" formatCode="0.0">
                  <c:v>-13.483354603218515</c:v>
                </c:pt>
                <c:pt idx="52" formatCode="0.0">
                  <c:v>-8.5969322796387839</c:v>
                </c:pt>
                <c:pt idx="53" formatCode="0.0">
                  <c:v>-3.7854655710671459</c:v>
                </c:pt>
                <c:pt idx="54" formatCode="0.0">
                  <c:v>0.52214590426268614</c:v>
                </c:pt>
                <c:pt idx="55" formatCode="0.0">
                  <c:v>3.9558336725972492</c:v>
                </c:pt>
                <c:pt idx="56" formatCode="0.0">
                  <c:v>6.2421816841231177</c:v>
                </c:pt>
                <c:pt idx="57" formatCode="0.0">
                  <c:v>7.2311079376466836</c:v>
                </c:pt>
                <c:pt idx="58" formatCode="0.0">
                  <c:v>6.9089184715108285</c:v>
                </c:pt>
                <c:pt idx="59" formatCode="0.0">
                  <c:v>5.3967136352678038</c:v>
                </c:pt>
                <c:pt idx="60" formatCode="0.0">
                  <c:v>2.9346653919036028</c:v>
                </c:pt>
                <c:pt idx="61" formatCode="0.0">
                  <c:v>-0.14586452916339621</c:v>
                </c:pt>
                <c:pt idx="62" formatCode="0.0">
                  <c:v>-3.4591790938185198</c:v>
                </c:pt>
                <c:pt idx="63" formatCode="0.0">
                  <c:v>-6.6070240008586083</c:v>
                </c:pt>
                <c:pt idx="64" formatCode="0.0">
                  <c:v>-9.2208134059785856</c:v>
                </c:pt>
                <c:pt idx="65" formatCode="0.0">
                  <c:v>-10.99987168602706</c:v>
                </c:pt>
                <c:pt idx="66" formatCode="0.0">
                  <c:v>-11.741761559572831</c:v>
                </c:pt>
                <c:pt idx="67" formatCode="0.0">
                  <c:v>-11.361668551804893</c:v>
                </c:pt>
                <c:pt idx="68" formatCode="0.0">
                  <c:v>-9.8990094129016235</c:v>
                </c:pt>
                <c:pt idx="69" formatCode="0.0">
                  <c:v>-7.5107989751373534</c:v>
                </c:pt>
                <c:pt idx="70" formatCode="0.0">
                  <c:v>-4.4527020412811318</c:v>
                </c:pt>
                <c:pt idx="71" formatCode="0.0">
                  <c:v>-1.049969852774983</c:v>
                </c:pt>
                <c:pt idx="72" formatCode="0.0">
                  <c:v>2.3385154504597079</c:v>
                </c:pt>
                <c:pt idx="73" formatCode="0.0">
                  <c:v>5.3591925697419782</c:v>
                </c:pt>
                <c:pt idx="74" formatCode="0.0">
                  <c:v>7.7016169166231023</c:v>
                </c:pt>
                <c:pt idx="75" formatCode="0.0">
                  <c:v>9.1311292284372492</c:v>
                </c:pt>
                <c:pt idx="76" formatCode="0.0">
                  <c:v>9.5130185569584569</c:v>
                </c:pt>
                <c:pt idx="77" formatCode="0.0">
                  <c:v>8.8257396119245808</c:v>
                </c:pt>
                <c:pt idx="78" formatCode="0.0">
                  <c:v>7.1619262198673965</c:v>
                </c:pt>
                <c:pt idx="79" formatCode="0.0">
                  <c:v>4.7172419008249378</c:v>
                </c:pt>
                <c:pt idx="80" formatCode="0.0">
                  <c:v>1.7683885380393072</c:v>
                </c:pt>
                <c:pt idx="81" formatCode="0.0">
                  <c:v>-1.357278449552684</c:v>
                </c:pt>
                <c:pt idx="82" formatCode="0.0">
                  <c:v>-4.3172211859598395</c:v>
                </c:pt>
                <c:pt idx="83" formatCode="0.0">
                  <c:v>-6.7904661948853615</c:v>
                </c:pt>
                <c:pt idx="84" formatCode="0.0">
                  <c:v>-8.5117181629097729</c:v>
                </c:pt>
                <c:pt idx="85" formatCode="0.0">
                  <c:v>-9.2992448244949237</c:v>
                </c:pt>
                <c:pt idx="86" formatCode="0.0">
                  <c:v>-9.0736255148304839</c:v>
                </c:pt>
                <c:pt idx="87" formatCode="0.0">
                  <c:v>-7.8654444644003938</c:v>
                </c:pt>
                <c:pt idx="88" formatCode="0.0">
                  <c:v>-5.8111928593692861</c:v>
                </c:pt>
                <c:pt idx="89" formatCode="0.0">
                  <c:v>-3.1378957588290186</c:v>
                </c:pt>
                <c:pt idx="90" formatCode="0.0">
                  <c:v>-0.13816945323545227</c:v>
                </c:pt>
                <c:pt idx="91" formatCode="0.0">
                  <c:v>2.861582579592973</c:v>
                </c:pt>
                <c:pt idx="92" formatCode="0.0">
                  <c:v>5.5364154289671621</c:v>
                </c:pt>
                <c:pt idx="93" formatCode="0.0">
                  <c:v>7.5977631823087659</c:v>
                </c:pt>
                <c:pt idx="94" formatCode="0.0">
                  <c:v>8.8243185841736498</c:v>
                </c:pt>
                <c:pt idx="95" formatCode="0.0">
                  <c:v>9.085599852033873</c:v>
                </c:pt>
                <c:pt idx="96" formatCode="0.0">
                  <c:v>8.3557196509599301</c:v>
                </c:pt>
                <c:pt idx="97" formatCode="0.0">
                  <c:v>6.7159181028602459</c:v>
                </c:pt>
                <c:pt idx="98" formatCode="0.0">
                  <c:v>4.3456175415960416</c:v>
                </c:pt>
                <c:pt idx="99" formatCode="0.0">
                  <c:v>1.5029753757485318</c:v>
                </c:pt>
                <c:pt idx="100" formatCode="0.0">
                  <c:v>-1.5029753757476176</c:v>
                </c:pt>
                <c:pt idx="101" formatCode="0.0">
                  <c:v>-4.3456175415952281</c:v>
                </c:pt>
                <c:pt idx="102" formatCode="0.0">
                  <c:v>-6.7159181028596127</c:v>
                </c:pt>
                <c:pt idx="103" formatCode="0.0">
                  <c:v>-8.3557196509595606</c:v>
                </c:pt>
                <c:pt idx="104" formatCode="0.0">
                  <c:v>-9.0855998520338019</c:v>
                </c:pt>
                <c:pt idx="105" formatCode="0.0">
                  <c:v>-8.8243185841738843</c:v>
                </c:pt>
                <c:pt idx="106" formatCode="0.0">
                  <c:v>-7.597763182309281</c:v>
                </c:pt>
                <c:pt idx="107" formatCode="0.0">
                  <c:v>-5.536415428967894</c:v>
                </c:pt>
                <c:pt idx="108" formatCode="0.0">
                  <c:v>-2.8615825795938701</c:v>
                </c:pt>
                <c:pt idx="109" formatCode="0.0">
                  <c:v>0.13816945323451035</c:v>
                </c:pt>
                <c:pt idx="110" formatCode="0.0">
                  <c:v>3.1378957588281238</c:v>
                </c:pt>
                <c:pt idx="111" formatCode="0.0">
                  <c:v>5.8111928593685551</c:v>
                </c:pt>
                <c:pt idx="112" formatCode="0.0">
                  <c:v>7.8654444643998964</c:v>
                </c:pt>
                <c:pt idx="113" formatCode="0.0">
                  <c:v>9.073625514830244</c:v>
                </c:pt>
                <c:pt idx="114" formatCode="0.0">
                  <c:v>9.299244824495009</c:v>
                </c:pt>
                <c:pt idx="115" formatCode="0.0">
                  <c:v>8.5117181629101637</c:v>
                </c:pt>
                <c:pt idx="116" formatCode="0.0">
                  <c:v>6.7904661948860099</c:v>
                </c:pt>
                <c:pt idx="117" formatCode="0.0">
                  <c:v>4.3172211859606815</c:v>
                </c:pt>
                <c:pt idx="118" formatCode="0.0">
                  <c:v>1.3572784495536201</c:v>
                </c:pt>
                <c:pt idx="119" formatCode="0.0">
                  <c:v>-1.7683885380383262</c:v>
                </c:pt>
                <c:pt idx="120" formatCode="0.0">
                  <c:v>-4.717241900824094</c:v>
                </c:pt>
                <c:pt idx="121" formatCode="0.0">
                  <c:v>-7.1619262198667837</c:v>
                </c:pt>
                <c:pt idx="122" formatCode="0.0">
                  <c:v>-8.8257396119242308</c:v>
                </c:pt>
                <c:pt idx="123" formatCode="0.0">
                  <c:v>-9.5130185569584036</c:v>
                </c:pt>
                <c:pt idx="124" formatCode="0.0">
                  <c:v>-9.1311292284375387</c:v>
                </c:pt>
                <c:pt idx="125" formatCode="0.0">
                  <c:v>-7.7016169166236796</c:v>
                </c:pt>
                <c:pt idx="126" formatCode="0.0">
                  <c:v>-5.3591925697428167</c:v>
                </c:pt>
                <c:pt idx="127" formatCode="0.0">
                  <c:v>-2.3385154504607026</c:v>
                </c:pt>
                <c:pt idx="128" formatCode="0.0">
                  <c:v>1.0499698527739296</c:v>
                </c:pt>
                <c:pt idx="129" formatCode="0.0">
                  <c:v>4.4527020412801619</c:v>
                </c:pt>
                <c:pt idx="130" formatCode="0.0">
                  <c:v>7.5107989751365647</c:v>
                </c:pt>
                <c:pt idx="131" formatCode="0.0">
                  <c:v>9.8990094129009893</c:v>
                </c:pt>
                <c:pt idx="132" formatCode="0.0">
                  <c:v>11.361668551804611</c:v>
                </c:pt>
                <c:pt idx="133" formatCode="0.0">
                  <c:v>11.741761559572925</c:v>
                </c:pt>
                <c:pt idx="134" formatCode="0.0">
                  <c:v>10.999871686027459</c:v>
                </c:pt>
                <c:pt idx="135" formatCode="0.0">
                  <c:v>9.2208134059792854</c:v>
                </c:pt>
                <c:pt idx="136" formatCode="0.0">
                  <c:v>6.6070240008595089</c:v>
                </c:pt>
                <c:pt idx="137" formatCode="0.0">
                  <c:v>3.4591790938195306</c:v>
                </c:pt>
                <c:pt idx="138" formatCode="0.0">
                  <c:v>0.14586452916438386</c:v>
                </c:pt>
                <c:pt idx="139" formatCode="0.0">
                  <c:v>-2.9346653919027013</c:v>
                </c:pt>
                <c:pt idx="140" formatCode="0.0">
                  <c:v>-5.3967136352671252</c:v>
                </c:pt>
                <c:pt idx="141" formatCode="0.0">
                  <c:v>-6.9089184715105709</c:v>
                </c:pt>
                <c:pt idx="142" formatCode="0.0">
                  <c:v>-7.2311079376468346</c:v>
                </c:pt>
                <c:pt idx="143" formatCode="0.0">
                  <c:v>-6.2421816841236719</c:v>
                </c:pt>
                <c:pt idx="144" formatCode="0.0">
                  <c:v>-3.9558336725980769</c:v>
                </c:pt>
                <c:pt idx="145" formatCode="0.0">
                  <c:v>-0.52214590426385854</c:v>
                </c:pt>
                <c:pt idx="146" formatCode="0.0">
                  <c:v>3.7854655710656822</c:v>
                </c:pt>
                <c:pt idx="147" formatCode="0.0">
                  <c:v>8.5969322796372776</c:v>
                </c:pt>
                <c:pt idx="148" formatCode="0.0">
                  <c:v>13.483354603217037</c:v>
                </c:pt>
                <c:pt idx="149" formatCode="0.0">
                  <c:v>18.002232478413696</c:v>
                </c:pt>
                <c:pt idx="150" formatCode="0.0">
                  <c:v>21.745493338234205</c:v>
                </c:pt>
                <c:pt idx="151" formatCode="0.0">
                  <c:v>24.385283885710102</c:v>
                </c:pt>
                <c:pt idx="152" formatCode="0.0">
                  <c:v>25.712586859555184</c:v>
                </c:pt>
                <c:pt idx="153" formatCode="0.0">
                  <c:v>25.664337497572923</c:v>
                </c:pt>
                <c:pt idx="154" formatCode="0.0">
                  <c:v>24.335796725015584</c:v>
                </c:pt>
                <c:pt idx="155" formatCode="0.0">
                  <c:v>21.976389569239451</c:v>
                </c:pt>
                <c:pt idx="156" formatCode="0.0">
                  <c:v>18.968897935676683</c:v>
                </c:pt>
                <c:pt idx="157" formatCode="0.0">
                  <c:v>15.793639647468156</c:v>
                </c:pt>
                <c:pt idx="158" formatCode="0.0">
                  <c:v>12.980892850635811</c:v>
                </c:pt>
                <c:pt idx="159" formatCode="0.0">
                  <c:v>11.05616592879608</c:v>
                </c:pt>
                <c:pt idx="160" formatCode="0.0">
                  <c:v>10.48382193507684</c:v>
                </c:pt>
                <c:pt idx="161" formatCode="0.0">
                  <c:v>11.614937148540152</c:v>
                </c:pt>
                <c:pt idx="162" formatCode="0.0">
                  <c:v>14.645051243941108</c:v>
                </c:pt>
                <c:pt idx="163" formatCode="0.0">
                  <c:v>19.586655686030181</c:v>
                </c:pt>
                <c:pt idx="164" formatCode="0.0">
                  <c:v>26.259930785783578</c:v>
                </c:pt>
                <c:pt idx="165" formatCode="0.0">
                  <c:v>34.303498529049875</c:v>
                </c:pt>
                <c:pt idx="166" formatCode="0.0">
                  <c:v>43.204970251122099</c:v>
                </c:pt>
                <c:pt idx="167" formatCode="0.0">
                  <c:v>52.349027205550023</c:v>
                </c:pt>
                <c:pt idx="168" formatCode="0.0">
                  <c:v>61.078880792018211</c:v>
                </c:pt>
                <c:pt idx="169" formatCode="0.0">
                  <c:v>68.765411620562958</c:v>
                </c:pt>
                <c:pt idx="170" formatCode="0.0">
                  <c:v>74.877248497206693</c:v>
                </c:pt>
                <c:pt idx="171" formatCode="0.0">
                  <c:v>79.044640401543759</c:v>
                </c:pt>
                <c:pt idx="172" formatCode="0.0">
                  <c:v>81.110258929404338</c:v>
                </c:pt>
                <c:pt idx="173" formatCode="0.0">
                  <c:v>81.161041956285317</c:v>
                </c:pt>
                <c:pt idx="174" formatCode="0.0">
                  <c:v>79.536780637178396</c:v>
                </c:pt>
                <c:pt idx="175" formatCode="0.0">
                  <c:v>76.813228343736483</c:v>
                </c:pt>
                <c:pt idx="176" formatCode="0.0">
                  <c:v>73.759887901424108</c:v>
                </c:pt>
                <c:pt idx="177" formatCode="0.0">
                  <c:v>71.275094201238304</c:v>
                </c:pt>
                <c:pt idx="178" formatCode="0.0">
                  <c:v>70.303320220080138</c:v>
                </c:pt>
                <c:pt idx="179" formatCode="0.0">
                  <c:v>71.741570527576499</c:v>
                </c:pt>
                <c:pt idx="180" formatCode="0.0">
                  <c:v>76.34309152064445</c:v>
                </c:pt>
                <c:pt idx="181" formatCode="0.0">
                  <c:v>84.627274468495415</c:v>
                </c:pt>
                <c:pt idx="182" formatCode="0.0">
                  <c:v>96.804472150661368</c:v>
                </c:pt>
                <c:pt idx="183" formatCode="0.0">
                  <c:v>112.72348159593362</c:v>
                </c:pt>
                <c:pt idx="184" formatCode="0.0">
                  <c:v>131.84772897554768</c:v>
                </c:pt>
                <c:pt idx="185" formatCode="0.0">
                  <c:v>153.26386405112319</c:v>
                </c:pt>
                <c:pt idx="186" formatCode="0.0">
                  <c:v>175.72372668102707</c:v>
                </c:pt>
                <c:pt idx="187" formatCode="0.0">
                  <c:v>197.71772564341711</c:v>
                </c:pt>
                <c:pt idx="188" formatCode="0.0">
                  <c:v>217.57483094766428</c:v>
                </c:pt>
                <c:pt idx="189" formatCode="0.0">
                  <c:v>233.58188331505809</c:v>
                </c:pt>
                <c:pt idx="190" formatCode="0.0">
                  <c:v>244.11300113457858</c:v>
                </c:pt>
                <c:pt idx="191" formatCode="0.0">
                  <c:v>247.75870076130929</c:v>
                </c:pt>
                <c:pt idx="192" formatCode="0.0">
                  <c:v>243.44405998751324</c:v>
                </c:pt>
                <c:pt idx="193" formatCode="0.0">
                  <c:v>230.52588914060368</c:v>
                </c:pt>
                <c:pt idx="194" formatCode="0.0">
                  <c:v>208.86038973677574</c:v>
                </c:pt>
                <c:pt idx="195" formatCode="0.0">
                  <c:v>178.8350576833347</c:v>
                </c:pt>
                <c:pt idx="196" formatCode="0.0">
                  <c:v>141.3614379059845</c:v>
                </c:pt>
                <c:pt idx="197" formatCode="0.0">
                  <c:v>97.828518090448824</c:v>
                </c:pt>
                <c:pt idx="198" formatCode="0.0">
                  <c:v>50.019787339397631</c:v>
                </c:pt>
                <c:pt idx="199" formatCode="0.0">
                  <c:v>1.5749541369059294E-11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E7-A54F-A057-F7FC93CBFCA7}"/>
            </c:ext>
          </c:extLst>
        </c:ser>
        <c:ser>
          <c:idx val="0"/>
          <c:order val="2"/>
          <c:tx>
            <c:v>Función Real f(x) = x^5</c:v>
          </c:tx>
          <c:spPr>
            <a:ln w="9525" cap="rnd">
              <a:solidFill>
                <a:schemeClr val="accent3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Serie_Fourier_Said_Carbot!$B$2:$B$201</c:f>
              <c:numCache>
                <c:formatCode>0.0000</c:formatCode>
                <c:ptCount val="200"/>
                <c:pt idx="0" formatCode="0.0">
                  <c:v>-306.01968478528141</c:v>
                </c:pt>
                <c:pt idx="1">
                  <c:v>-290.94782318186714</c:v>
                </c:pt>
                <c:pt idx="2" formatCode="0.0">
                  <c:v>-276.47574578730018</c:v>
                </c:pt>
                <c:pt idx="3" formatCode="0.0">
                  <c:v>-262.58537050992004</c:v>
                </c:pt>
                <c:pt idx="4" formatCode="0.0">
                  <c:v>-249.25898238802165</c:v>
                </c:pt>
                <c:pt idx="5" formatCode="0.0">
                  <c:v>-236.4792298244202</c:v>
                </c:pt>
                <c:pt idx="6" formatCode="0.0">
                  <c:v>-224.22912082101485</c:v>
                </c:pt>
                <c:pt idx="7" formatCode="0.0">
                  <c:v>-212.4920192133541</c:v>
                </c:pt>
                <c:pt idx="8" formatCode="0.0">
                  <c:v>-201.25164090520019</c:v>
                </c:pt>
                <c:pt idx="9" formatCode="0.0">
                  <c:v>-190.49205010309313</c:v>
                </c:pt>
                <c:pt idx="10" formatCode="0.0">
                  <c:v>-180.19765555091584</c:v>
                </c:pt>
                <c:pt idx="11" formatCode="0.0">
                  <c:v>-170.35320676445872</c:v>
                </c:pt>
                <c:pt idx="12" formatCode="0.0">
                  <c:v>-160.94379026598369</c:v>
                </c:pt>
                <c:pt idx="13" formatCode="0.0">
                  <c:v>-151.95482581878935</c:v>
                </c:pt>
                <c:pt idx="14" formatCode="0.0">
                  <c:v>-143.37206266177495</c:v>
                </c:pt>
                <c:pt idx="15" formatCode="0.0">
                  <c:v>-135.18157574400561</c:v>
                </c:pt>
                <c:pt idx="16" formatCode="0.0">
                  <c:v>-127.36976195927626</c:v>
                </c:pt>
                <c:pt idx="17" formatCode="0.0">
                  <c:v>-119.92333638067667</c:v>
                </c:pt>
                <c:pt idx="18" formatCode="0.0">
                  <c:v>-112.82932849515571</c:v>
                </c:pt>
                <c:pt idx="19" formatCode="0.0">
                  <c:v>-106.07507843808601</c:v>
                </c:pt>
                <c:pt idx="20" formatCode="0.0">
                  <c:v>-99.648233227828598</c:v>
                </c:pt>
                <c:pt idx="21" formatCode="0.0">
                  <c:v>-93.536743000297335</c:v>
                </c:pt>
                <c:pt idx="22" formatCode="0.0">
                  <c:v>-87.728857243523521</c:v>
                </c:pt>
                <c:pt idx="23" formatCode="0.0">
                  <c:v>-82.213121032220513</c:v>
                </c:pt>
                <c:pt idx="24" formatCode="0.0">
                  <c:v>-76.978371262348205</c:v>
                </c:pt>
                <c:pt idx="25" formatCode="0.0">
                  <c:v>-72.013732885677612</c:v>
                </c:pt>
                <c:pt idx="26" formatCode="0.0">
                  <c:v>-67.308615144355457</c:v>
                </c:pt>
                <c:pt idx="27" formatCode="0.0">
                  <c:v>-62.852707805468704</c:v>
                </c:pt>
                <c:pt idx="28" formatCode="0.0">
                  <c:v>-58.635977395609153</c:v>
                </c:pt>
                <c:pt idx="29" formatCode="0.0">
                  <c:v>-54.648663435437911</c:v>
                </c:pt>
                <c:pt idx="30" formatCode="0.0">
                  <c:v>-50.881274674250072</c:v>
                </c:pt>
                <c:pt idx="31" formatCode="0.0">
                  <c:v>-47.324585324539228</c:v>
                </c:pt>
                <c:pt idx="32" formatCode="0.0">
                  <c:v>-43.969631296561964</c:v>
                </c:pt>
                <c:pt idx="33" formatCode="0.0">
                  <c:v>-40.807706432902542</c:v>
                </c:pt>
                <c:pt idx="34" formatCode="0.0">
                  <c:v>-37.830358743037351</c:v>
                </c:pt>
                <c:pt idx="35" formatCode="0.0">
                  <c:v>-35.029386637899513</c:v>
                </c:pt>
                <c:pt idx="36" formatCode="0.0">
                  <c:v>-32.396835164443495</c:v>
                </c:pt>
                <c:pt idx="37" formatCode="0.0">
                  <c:v>-29.924992240209566</c:v>
                </c:pt>
                <c:pt idx="38" formatCode="0.0">
                  <c:v>-27.60638488788841</c:v>
                </c:pt>
                <c:pt idx="39" formatCode="0.0">
                  <c:v>-25.433775469885727</c:v>
                </c:pt>
                <c:pt idx="40" formatCode="0.0">
                  <c:v>-23.400157922886702</c:v>
                </c:pt>
                <c:pt idx="41" formatCode="0.0">
                  <c:v>-21.498753992420657</c:v>
                </c:pt>
                <c:pt idx="42" formatCode="0.0">
                  <c:v>-19.723009467425534</c:v>
                </c:pt>
                <c:pt idx="43" formatCode="0.0">
                  <c:v>-18.066590414812524</c:v>
                </c:pt>
                <c:pt idx="44" formatCode="0.0">
                  <c:v>-16.523379414030572</c:v>
                </c:pt>
                <c:pt idx="45" formatCode="0.0">
                  <c:v>-15.087471791630971</c:v>
                </c:pt>
                <c:pt idx="46" formatCode="0.0">
                  <c:v>-13.753171855831901</c:v>
                </c:pt>
                <c:pt idx="47" formatCode="0.0">
                  <c:v>-12.514989131083016</c:v>
                </c:pt>
                <c:pt idx="48" formatCode="0.0">
                  <c:v>-11.367634592629972</c:v>
                </c:pt>
                <c:pt idx="49" formatCode="0.0">
                  <c:v>-10.306016901079014</c:v>
                </c:pt>
                <c:pt idx="50" formatCode="0.0">
                  <c:v>-9.325238636961517</c:v>
                </c:pt>
                <c:pt idx="51" formatCode="0.0">
                  <c:v>-8.4205925352985638</c:v>
                </c:pt>
                <c:pt idx="52" formatCode="0.0">
                  <c:v>-7.5875577201654911</c:v>
                </c:pt>
                <c:pt idx="53" formatCode="0.0">
                  <c:v>-6.8217959392564653</c:v>
                </c:pt>
                <c:pt idx="54" formatCode="0.0">
                  <c:v>-6.1191477984490215</c:v>
                </c:pt>
                <c:pt idx="55" formatCode="0.0">
                  <c:v>-5.4756289963686386</c:v>
                </c:pt>
                <c:pt idx="56" formatCode="0.0">
                  <c:v>-4.8874265589533055</c:v>
                </c:pt>
                <c:pt idx="57" formatCode="0.0">
                  <c:v>-4.3508950740180623</c:v>
                </c:pt>
                <c:pt idx="58" formatCode="0.0">
                  <c:v>-3.8625529258195788</c:v>
                </c:pt>
                <c:pt idx="59" formatCode="0.0">
                  <c:v>-3.4190785296207031</c:v>
                </c:pt>
                <c:pt idx="60" formatCode="0.0">
                  <c:v>-3.0173065662550274</c:v>
                </c:pt>
                <c:pt idx="61" formatCode="0.0">
                  <c:v>-2.6542242166914485</c:v>
                </c:pt>
                <c:pt idx="62" formatCode="0.0">
                  <c:v>-2.3269673965987279</c:v>
                </c:pt>
                <c:pt idx="63" formatCode="0.0">
                  <c:v>-2.0328169909100477</c:v>
                </c:pt>
                <c:pt idx="64" formatCode="0.0">
                  <c:v>-1.7691950883875776</c:v>
                </c:pt>
                <c:pt idx="65" formatCode="0.0">
                  <c:v>-1.5336612161870327</c:v>
                </c:pt>
                <c:pt idx="66" formatCode="0.0">
                  <c:v>-1.3239085744222316</c:v>
                </c:pt>
                <c:pt idx="67" formatCode="0.0">
                  <c:v>-1.1377602707296608</c:v>
                </c:pt>
                <c:pt idx="68" formatCode="0.0">
                  <c:v>-0.97316555483303102</c:v>
                </c:pt>
                <c:pt idx="69" formatCode="0.0">
                  <c:v>-0.82819605310784217</c:v>
                </c:pt>
                <c:pt idx="70" formatCode="0.0">
                  <c:v>-0.70104200314594001</c:v>
                </c:pt>
                <c:pt idx="71" formatCode="0.0">
                  <c:v>-0.59000848832007802</c:v>
                </c:pt>
                <c:pt idx="72" formatCode="0.0">
                  <c:v>-0.4935116723484777</c:v>
                </c:pt>
                <c:pt idx="73" formatCode="0.0">
                  <c:v>-0.4100750338593887</c:v>
                </c:pt>
                <c:pt idx="74" formatCode="0.0">
                  <c:v>-0.33832560095564979</c:v>
                </c:pt>
                <c:pt idx="75" formatCode="0.0">
                  <c:v>-0.27699018577924872</c:v>
                </c:pt>
                <c:pt idx="76" formatCode="0.0">
                  <c:v>-0.22489161907588293</c:v>
                </c:pt>
                <c:pt idx="77" formatCode="0.0">
                  <c:v>-0.18094498475951981</c:v>
                </c:pt>
                <c:pt idx="78" formatCode="0.0">
                  <c:v>-0.14415385447695728</c:v>
                </c:pt>
                <c:pt idx="79" formatCode="0.0">
                  <c:v>-0.11360652217238394</c:v>
                </c:pt>
                <c:pt idx="80" formatCode="0.0">
                  <c:v>-8.8472238651939747E-2</c:v>
                </c:pt>
                <c:pt idx="81" formatCode="0.0">
                  <c:v>-6.7997446148276242E-2</c:v>
                </c:pt>
                <c:pt idx="82" formatCode="0.0">
                  <c:v>-5.1502012885117077E-2</c:v>
                </c:pt>
                <c:pt idx="83" formatCode="0.0">
                  <c:v>-3.837546764181831E-2</c:v>
                </c:pt>
                <c:pt idx="84" formatCode="0.0">
                  <c:v>-2.8073234317928866E-2</c:v>
                </c:pt>
                <c:pt idx="85" formatCode="0.0">
                  <c:v>-2.011286649775099E-2</c:v>
                </c:pt>
                <c:pt idx="86" formatCode="0.0">
                  <c:v>-1.4070282014900567E-2</c:v>
                </c:pt>
                <c:pt idx="87" formatCode="0.0">
                  <c:v>-9.5759975168675879E-3</c:v>
                </c:pt>
                <c:pt idx="88" formatCode="0.0">
                  <c:v>-6.3113630295765404E-3</c:v>
                </c:pt>
                <c:pt idx="89" formatCode="0.0">
                  <c:v>-4.0047965219468145E-3</c:v>
                </c:pt>
                <c:pt idx="90" formatCode="0.0">
                  <c:v>-2.4280184704531201E-3</c:v>
                </c:pt>
                <c:pt idx="91" formatCode="0.0">
                  <c:v>-1.3922864236858813E-3</c:v>
                </c:pt>
                <c:pt idx="92" formatCode="0.0">
                  <c:v>-7.4462956691165295E-4</c:v>
                </c:pt>
                <c:pt idx="93" formatCode="0.0">
                  <c:v>-3.6408328663352466E-4</c:v>
                </c:pt>
                <c:pt idx="94" formatCode="0.0">
                  <c:v>-1.5792373515153001E-4</c:v>
                </c:pt>
                <c:pt idx="95" formatCode="0.0">
                  <c:v>-5.7902395123054097E-5</c:v>
                </c:pt>
                <c:pt idx="96" formatCode="0.0">
                  <c:v>-1.6480644123240315E-5</c:v>
                </c:pt>
                <c:pt idx="97" formatCode="0.0">
                  <c:v>-3.0643192053983758E-6</c:v>
                </c:pt>
                <c:pt idx="98" formatCode="0.0">
                  <c:v>-2.3828146141182646E-7</c:v>
                </c:pt>
                <c:pt idx="99" formatCode="0.0">
                  <c:v>-9.8058214572868375E-10</c:v>
                </c:pt>
                <c:pt idx="100" formatCode="0.0">
                  <c:v>9.8058214572567529E-10</c:v>
                </c:pt>
                <c:pt idx="101" formatCode="0.0">
                  <c:v>2.3828146141158275E-7</c:v>
                </c:pt>
                <c:pt idx="102" formatCode="0.0">
                  <c:v>3.0643192053964958E-6</c:v>
                </c:pt>
                <c:pt idx="103" formatCode="0.0">
                  <c:v>1.6480644123233092E-5</c:v>
                </c:pt>
                <c:pt idx="104" formatCode="0.0">
                  <c:v>5.7902395123034344E-5</c:v>
                </c:pt>
                <c:pt idx="105" formatCode="0.0">
                  <c:v>1.5792373515148594E-4</c:v>
                </c:pt>
                <c:pt idx="106" formatCode="0.0">
                  <c:v>3.6408328663343874E-4</c:v>
                </c:pt>
                <c:pt idx="107" formatCode="0.0">
                  <c:v>7.4462956691150062E-4</c:v>
                </c:pt>
                <c:pt idx="108" formatCode="0.0">
                  <c:v>1.3922864236856312E-3</c:v>
                </c:pt>
                <c:pt idx="109" formatCode="0.0">
                  <c:v>2.4280184704527294E-3</c:v>
                </c:pt>
                <c:pt idx="110" formatCode="0.0">
                  <c:v>4.0047965219462316E-3</c:v>
                </c:pt>
                <c:pt idx="111" formatCode="0.0">
                  <c:v>6.3113630295756999E-3</c:v>
                </c:pt>
                <c:pt idx="112" formatCode="0.0">
                  <c:v>9.5759975168664153E-3</c:v>
                </c:pt>
                <c:pt idx="113" formatCode="0.0">
                  <c:v>1.4070282014898971E-2</c:v>
                </c:pt>
                <c:pt idx="114" formatCode="0.0">
                  <c:v>2.0112866497748873E-2</c:v>
                </c:pt>
                <c:pt idx="115" formatCode="0.0">
                  <c:v>2.8073234317926105E-2</c:v>
                </c:pt>
                <c:pt idx="116" formatCode="0.0">
                  <c:v>3.8375467641814737E-2</c:v>
                </c:pt>
                <c:pt idx="117" formatCode="0.0">
                  <c:v>5.150201288511258E-2</c:v>
                </c:pt>
                <c:pt idx="118" formatCode="0.0">
                  <c:v>6.7997446148270621E-2</c:v>
                </c:pt>
                <c:pt idx="119" formatCode="0.0">
                  <c:v>8.847223865193278E-2</c:v>
                </c:pt>
                <c:pt idx="120" formatCode="0.0">
                  <c:v>0.11360652217237546</c:v>
                </c:pt>
                <c:pt idx="121" formatCode="0.0">
                  <c:v>0.14415385447694704</c:v>
                </c:pt>
                <c:pt idx="122" formatCode="0.0">
                  <c:v>0.18094498475950757</c:v>
                </c:pt>
                <c:pt idx="123" formatCode="0.0">
                  <c:v>0.2248916190758683</c:v>
                </c:pt>
                <c:pt idx="124" formatCode="0.0">
                  <c:v>0.27699018577923151</c:v>
                </c:pt>
                <c:pt idx="125" formatCode="0.0">
                  <c:v>0.33832560095562952</c:v>
                </c:pt>
                <c:pt idx="126" formatCode="0.0">
                  <c:v>0.41007503385936511</c:v>
                </c:pt>
                <c:pt idx="127" formatCode="0.0">
                  <c:v>0.49351167234845023</c:v>
                </c:pt>
                <c:pt idx="128" formatCode="0.0">
                  <c:v>0.59000848832004638</c:v>
                </c:pt>
                <c:pt idx="129" formatCode="0.0">
                  <c:v>0.70104200314590359</c:v>
                </c:pt>
                <c:pt idx="130" formatCode="0.0">
                  <c:v>0.82819605310780053</c:v>
                </c:pt>
                <c:pt idx="131" formatCode="0.0">
                  <c:v>0.97316555483298384</c:v>
                </c:pt>
                <c:pt idx="132" formatCode="0.0">
                  <c:v>1.1377602707296066</c:v>
                </c:pt>
                <c:pt idx="133" formatCode="0.0">
                  <c:v>1.3239085744221706</c:v>
                </c:pt>
                <c:pt idx="134" formatCode="0.0">
                  <c:v>1.5336612161869638</c:v>
                </c:pt>
                <c:pt idx="135" formatCode="0.0">
                  <c:v>1.7691950883875009</c:v>
                </c:pt>
                <c:pt idx="136" formatCode="0.0">
                  <c:v>2.0328169909099612</c:v>
                </c:pt>
                <c:pt idx="137" formatCode="0.0">
                  <c:v>2.3269673965986319</c:v>
                </c:pt>
                <c:pt idx="138" formatCode="0.0">
                  <c:v>2.6542242166913419</c:v>
                </c:pt>
                <c:pt idx="139" formatCode="0.0">
                  <c:v>3.0173065662549088</c:v>
                </c:pt>
                <c:pt idx="140" formatCode="0.0">
                  <c:v>3.4190785296205721</c:v>
                </c:pt>
                <c:pt idx="141" formatCode="0.0">
                  <c:v>3.8625529258194344</c:v>
                </c:pt>
                <c:pt idx="142" formatCode="0.0">
                  <c:v>4.3508950740179042</c:v>
                </c:pt>
                <c:pt idx="143" formatCode="0.0">
                  <c:v>4.8874265589531314</c:v>
                </c:pt>
                <c:pt idx="144" formatCode="0.0">
                  <c:v>5.4756289963684477</c:v>
                </c:pt>
                <c:pt idx="145" formatCode="0.0">
                  <c:v>6.1191477984488136</c:v>
                </c:pt>
                <c:pt idx="146" formatCode="0.0">
                  <c:v>6.821795939256238</c:v>
                </c:pt>
                <c:pt idx="147" formatCode="0.0">
                  <c:v>7.5875577201652451</c:v>
                </c:pt>
                <c:pt idx="148" formatCode="0.0">
                  <c:v>8.4205925352982938</c:v>
                </c:pt>
                <c:pt idx="149" formatCode="0.0">
                  <c:v>9.3252386369612239</c:v>
                </c:pt>
                <c:pt idx="150" formatCode="0.0">
                  <c:v>10.306016901078696</c:v>
                </c:pt>
                <c:pt idx="151" formatCode="0.0">
                  <c:v>11.367634592629633</c:v>
                </c:pt>
                <c:pt idx="152" formatCode="0.0">
                  <c:v>12.514989131082647</c:v>
                </c:pt>
                <c:pt idx="153" formatCode="0.0">
                  <c:v>13.753171855831507</c:v>
                </c:pt>
                <c:pt idx="154" formatCode="0.0">
                  <c:v>15.087471791630543</c:v>
                </c:pt>
                <c:pt idx="155" formatCode="0.0">
                  <c:v>16.523379414030114</c:v>
                </c:pt>
                <c:pt idx="156" formatCode="0.0">
                  <c:v>18.06659041481203</c:v>
                </c:pt>
                <c:pt idx="157" formatCode="0.0">
                  <c:v>19.723009467425001</c:v>
                </c:pt>
                <c:pt idx="158" formatCode="0.0">
                  <c:v>21.498753992420081</c:v>
                </c:pt>
                <c:pt idx="159" formatCode="0.0">
                  <c:v>23.400157922886095</c:v>
                </c:pt>
                <c:pt idx="160" formatCode="0.0">
                  <c:v>25.433775469885074</c:v>
                </c:pt>
                <c:pt idx="161" formatCode="0.0">
                  <c:v>27.606384887887721</c:v>
                </c:pt>
                <c:pt idx="162" formatCode="0.0">
                  <c:v>29.924992240208823</c:v>
                </c:pt>
                <c:pt idx="163" formatCode="0.0">
                  <c:v>32.396835164442713</c:v>
                </c:pt>
                <c:pt idx="164" formatCode="0.0">
                  <c:v>35.029386637898675</c:v>
                </c:pt>
                <c:pt idx="165" formatCode="0.0">
                  <c:v>37.830358743036442</c:v>
                </c:pt>
                <c:pt idx="166" formatCode="0.0">
                  <c:v>40.80770643290159</c:v>
                </c:pt>
                <c:pt idx="167" formatCode="0.0">
                  <c:v>43.969631296560976</c:v>
                </c:pt>
                <c:pt idx="168" formatCode="0.0">
                  <c:v>47.32458532453817</c:v>
                </c:pt>
                <c:pt idx="169" formatCode="0.0">
                  <c:v>50.881274674248942</c:v>
                </c:pt>
                <c:pt idx="170" formatCode="0.0">
                  <c:v>54.648663435436717</c:v>
                </c:pt>
                <c:pt idx="171" formatCode="0.0">
                  <c:v>58.635977395607867</c:v>
                </c:pt>
                <c:pt idx="172" formatCode="0.0">
                  <c:v>62.852707805467368</c:v>
                </c:pt>
                <c:pt idx="173" formatCode="0.0">
                  <c:v>67.308615144354036</c:v>
                </c:pt>
                <c:pt idx="174" formatCode="0.0">
                  <c:v>72.01373288567612</c:v>
                </c:pt>
                <c:pt idx="175" formatCode="0.0">
                  <c:v>76.978371262346613</c:v>
                </c:pt>
                <c:pt idx="176" formatCode="0.0">
                  <c:v>82.213121032218822</c:v>
                </c:pt>
                <c:pt idx="177" formatCode="0.0">
                  <c:v>87.728857243521773</c:v>
                </c:pt>
                <c:pt idx="178" formatCode="0.0">
                  <c:v>93.536743000295459</c:v>
                </c:pt>
                <c:pt idx="179" formatCode="0.0">
                  <c:v>99.648233227826651</c:v>
                </c:pt>
                <c:pt idx="180" formatCode="0.0">
                  <c:v>106.07507843808398</c:v>
                </c:pt>
                <c:pt idx="181" formatCode="0.0">
                  <c:v>112.82932849515358</c:v>
                </c:pt>
                <c:pt idx="182" formatCode="0.0">
                  <c:v>119.92333638067444</c:v>
                </c:pt>
                <c:pt idx="183" formatCode="0.0">
                  <c:v>127.36976195927392</c:v>
                </c:pt>
                <c:pt idx="184" formatCode="0.0">
                  <c:v>135.18157574400314</c:v>
                </c:pt>
                <c:pt idx="185" formatCode="0.0">
                  <c:v>143.37206266177236</c:v>
                </c:pt>
                <c:pt idx="186" formatCode="0.0">
                  <c:v>151.95482581878662</c:v>
                </c:pt>
                <c:pt idx="187" formatCode="0.0">
                  <c:v>160.94379026598085</c:v>
                </c:pt>
                <c:pt idx="188" formatCode="0.0">
                  <c:v>170.35320676445576</c:v>
                </c:pt>
                <c:pt idx="189" formatCode="0.0">
                  <c:v>180.19765555091274</c:v>
                </c:pt>
                <c:pt idx="190" formatCode="0.0">
                  <c:v>190.49205010308981</c:v>
                </c:pt>
                <c:pt idx="191" formatCode="0.0">
                  <c:v>201.25164090519675</c:v>
                </c:pt>
                <c:pt idx="192" formatCode="0.0">
                  <c:v>212.49201921335057</c:v>
                </c:pt>
                <c:pt idx="193" formatCode="0.0">
                  <c:v>224.22912082101109</c:v>
                </c:pt>
                <c:pt idx="194" formatCode="0.0">
                  <c:v>236.47922982441628</c:v>
                </c:pt>
                <c:pt idx="195" formatCode="0.0">
                  <c:v>249.25898238801764</c:v>
                </c:pt>
                <c:pt idx="196" formatCode="0.0">
                  <c:v>262.58537050991578</c:v>
                </c:pt>
                <c:pt idx="197" formatCode="0.0">
                  <c:v>276.47574578729581</c:v>
                </c:pt>
                <c:pt idx="198" formatCode="0.0">
                  <c:v>290.94782318186253</c:v>
                </c:pt>
                <c:pt idx="199" formatCode="0.0">
                  <c:v>306.01968478527658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7-A54F-A057-F7FC93CBFCA7}"/>
            </c:ext>
          </c:extLst>
        </c:ser>
        <c:ser>
          <c:idx val="1"/>
          <c:order val="3"/>
          <c:tx>
            <c:v>Serie de Fourier (10 términos)</c:v>
          </c:tx>
          <c:spPr>
            <a:ln w="9525" cap="rnd">
              <a:solidFill>
                <a:schemeClr val="accent3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Serie_Fourier_Said_Carbot!$C$2:$C$201</c:f>
              <c:numCache>
                <c:formatCode>0.0000</c:formatCode>
                <c:ptCount val="200"/>
                <c:pt idx="0" formatCode="0.0">
                  <c:v>-1.954593634191964E-13</c:v>
                </c:pt>
                <c:pt idx="1">
                  <c:v>-50.019787339382404</c:v>
                </c:pt>
                <c:pt idx="2" formatCode="0.0">
                  <c:v>-97.828518090434628</c:v>
                </c:pt>
                <c:pt idx="3" formatCode="0.0">
                  <c:v>-141.36143790597185</c:v>
                </c:pt>
                <c:pt idx="4" formatCode="0.0">
                  <c:v>-178.83505768332418</c:v>
                </c:pt>
                <c:pt idx="5" formatCode="0.0">
                  <c:v>-208.86038973676779</c:v>
                </c:pt>
                <c:pt idx="6" formatCode="0.0">
                  <c:v>-230.52588914059828</c:v>
                </c:pt>
                <c:pt idx="7" formatCode="0.0">
                  <c:v>-243.44405998751051</c:v>
                </c:pt>
                <c:pt idx="8" formatCode="0.0">
                  <c:v>-247.75870076130934</c:v>
                </c:pt>
                <c:pt idx="9" formatCode="0.0">
                  <c:v>-244.11300113458086</c:v>
                </c:pt>
                <c:pt idx="10" formatCode="0.0">
                  <c:v>-233.58188331506236</c:v>
                </c:pt>
                <c:pt idx="11" formatCode="0.0">
                  <c:v>-217.57483094766988</c:v>
                </c:pt>
                <c:pt idx="12" formatCode="0.0">
                  <c:v>-197.71772564342368</c:v>
                </c:pt>
                <c:pt idx="13" formatCode="0.0">
                  <c:v>-175.72372668103407</c:v>
                </c:pt>
                <c:pt idx="14" formatCode="0.0">
                  <c:v>-153.26386405113013</c:v>
                </c:pt>
                <c:pt idx="15" formatCode="0.0">
                  <c:v>-131.84772897555402</c:v>
                </c:pt>
                <c:pt idx="16" formatCode="0.0">
                  <c:v>-112.72348159593908</c:v>
                </c:pt>
                <c:pt idx="17" formatCode="0.0">
                  <c:v>-96.804472150665717</c:v>
                </c:pt>
                <c:pt idx="18" formatCode="0.0">
                  <c:v>-84.627274468498541</c:v>
                </c:pt>
                <c:pt idx="19" formatCode="0.0">
                  <c:v>-76.343091520646482</c:v>
                </c:pt>
                <c:pt idx="20" formatCode="0.0">
                  <c:v>-71.741570527577466</c:v>
                </c:pt>
                <c:pt idx="21" formatCode="0.0">
                  <c:v>-70.303320220080138</c:v>
                </c:pt>
                <c:pt idx="22" formatCode="0.0">
                  <c:v>-71.275094201237721</c:v>
                </c:pt>
                <c:pt idx="23" formatCode="0.0">
                  <c:v>-73.759887901423227</c:v>
                </c:pt>
                <c:pt idx="24" formatCode="0.0">
                  <c:v>-76.813228343735531</c:v>
                </c:pt>
                <c:pt idx="25" formatCode="0.0">
                  <c:v>-79.536780637177685</c:v>
                </c:pt>
                <c:pt idx="26" formatCode="0.0">
                  <c:v>-81.161041956285118</c:v>
                </c:pt>
                <c:pt idx="27" formatCode="0.0">
                  <c:v>-81.110258929404665</c:v>
                </c:pt>
                <c:pt idx="28" formatCode="0.0">
                  <c:v>-79.044640401544655</c:v>
                </c:pt>
                <c:pt idx="29" formatCode="0.0">
                  <c:v>-74.877248497208384</c:v>
                </c:pt>
                <c:pt idx="30" formatCode="0.0">
                  <c:v>-68.765411620565004</c:v>
                </c:pt>
                <c:pt idx="31" formatCode="0.0">
                  <c:v>-61.078880792020747</c:v>
                </c:pt>
                <c:pt idx="32" formatCode="0.0">
                  <c:v>-52.349027205552851</c:v>
                </c:pt>
                <c:pt idx="33" formatCode="0.0">
                  <c:v>-43.204970251124877</c:v>
                </c:pt>
                <c:pt idx="34" formatCode="0.0">
                  <c:v>-34.30349852905254</c:v>
                </c:pt>
                <c:pt idx="35" formatCode="0.0">
                  <c:v>-26.259930785785915</c:v>
                </c:pt>
                <c:pt idx="36" formatCode="0.0">
                  <c:v>-19.586655686031996</c:v>
                </c:pt>
                <c:pt idx="37" formatCode="0.0">
                  <c:v>-14.645051243942296</c:v>
                </c:pt>
                <c:pt idx="38" formatCode="0.0">
                  <c:v>-11.614937148540854</c:v>
                </c:pt>
                <c:pt idx="39" formatCode="0.0">
                  <c:v>-10.48382193507701</c:v>
                </c:pt>
                <c:pt idx="40" formatCode="0.0">
                  <c:v>-11.056165928795574</c:v>
                </c:pt>
                <c:pt idx="41" formatCode="0.0">
                  <c:v>-12.980892850634991</c:v>
                </c:pt>
                <c:pt idx="42" formatCode="0.0">
                  <c:v>-15.793639647467097</c:v>
                </c:pt>
                <c:pt idx="43" formatCode="0.0">
                  <c:v>-18.968897935675816</c:v>
                </c:pt>
                <c:pt idx="44" formatCode="0.0">
                  <c:v>-21.97638956923867</c:v>
                </c:pt>
                <c:pt idx="45" formatCode="0.0">
                  <c:v>-24.335796725014884</c:v>
                </c:pt>
                <c:pt idx="46" formatCode="0.0">
                  <c:v>-25.664337497572745</c:v>
                </c:pt>
                <c:pt idx="47" formatCode="0.0">
                  <c:v>-25.712586859555458</c:v>
                </c:pt>
                <c:pt idx="48" formatCode="0.0">
                  <c:v>-24.38528388571072</c:v>
                </c:pt>
                <c:pt idx="49" formatCode="0.0">
                  <c:v>-21.745493338235175</c:v>
                </c:pt>
                <c:pt idx="50" formatCode="0.0">
                  <c:v>-18.002232478414992</c:v>
                </c:pt>
                <c:pt idx="51" formatCode="0.0">
                  <c:v>-13.483354603218515</c:v>
                </c:pt>
                <c:pt idx="52" formatCode="0.0">
                  <c:v>-8.5969322796387839</c:v>
                </c:pt>
                <c:pt idx="53" formatCode="0.0">
                  <c:v>-3.7854655710671459</c:v>
                </c:pt>
                <c:pt idx="54" formatCode="0.0">
                  <c:v>0.52214590426268614</c:v>
                </c:pt>
                <c:pt idx="55" formatCode="0.0">
                  <c:v>3.9558336725972492</c:v>
                </c:pt>
                <c:pt idx="56" formatCode="0.0">
                  <c:v>6.2421816841231177</c:v>
                </c:pt>
                <c:pt idx="57" formatCode="0.0">
                  <c:v>7.2311079376466836</c:v>
                </c:pt>
                <c:pt idx="58" formatCode="0.0">
                  <c:v>6.9089184715108285</c:v>
                </c:pt>
                <c:pt idx="59" formatCode="0.0">
                  <c:v>5.3967136352678038</c:v>
                </c:pt>
                <c:pt idx="60" formatCode="0.0">
                  <c:v>2.9346653919036028</c:v>
                </c:pt>
                <c:pt idx="61" formatCode="0.0">
                  <c:v>-0.14586452916339621</c:v>
                </c:pt>
                <c:pt idx="62" formatCode="0.0">
                  <c:v>-3.4591790938185198</c:v>
                </c:pt>
                <c:pt idx="63" formatCode="0.0">
                  <c:v>-6.6070240008586083</c:v>
                </c:pt>
                <c:pt idx="64" formatCode="0.0">
                  <c:v>-9.2208134059785856</c:v>
                </c:pt>
                <c:pt idx="65" formatCode="0.0">
                  <c:v>-10.99987168602706</c:v>
                </c:pt>
                <c:pt idx="66" formatCode="0.0">
                  <c:v>-11.741761559572831</c:v>
                </c:pt>
                <c:pt idx="67" formatCode="0.0">
                  <c:v>-11.361668551804893</c:v>
                </c:pt>
                <c:pt idx="68" formatCode="0.0">
                  <c:v>-9.8990094129016235</c:v>
                </c:pt>
                <c:pt idx="69" formatCode="0.0">
                  <c:v>-7.5107989751373534</c:v>
                </c:pt>
                <c:pt idx="70" formatCode="0.0">
                  <c:v>-4.4527020412811318</c:v>
                </c:pt>
                <c:pt idx="71" formatCode="0.0">
                  <c:v>-1.049969852774983</c:v>
                </c:pt>
                <c:pt idx="72" formatCode="0.0">
                  <c:v>2.3385154504597079</c:v>
                </c:pt>
                <c:pt idx="73" formatCode="0.0">
                  <c:v>5.3591925697419782</c:v>
                </c:pt>
                <c:pt idx="74" formatCode="0.0">
                  <c:v>7.7016169166231023</c:v>
                </c:pt>
                <c:pt idx="75" formatCode="0.0">
                  <c:v>9.1311292284372492</c:v>
                </c:pt>
                <c:pt idx="76" formatCode="0.0">
                  <c:v>9.5130185569584569</c:v>
                </c:pt>
                <c:pt idx="77" formatCode="0.0">
                  <c:v>8.8257396119245808</c:v>
                </c:pt>
                <c:pt idx="78" formatCode="0.0">
                  <c:v>7.1619262198673965</c:v>
                </c:pt>
                <c:pt idx="79" formatCode="0.0">
                  <c:v>4.7172419008249378</c:v>
                </c:pt>
                <c:pt idx="80" formatCode="0.0">
                  <c:v>1.7683885380393072</c:v>
                </c:pt>
                <c:pt idx="81" formatCode="0.0">
                  <c:v>-1.357278449552684</c:v>
                </c:pt>
                <c:pt idx="82" formatCode="0.0">
                  <c:v>-4.3172211859598395</c:v>
                </c:pt>
                <c:pt idx="83" formatCode="0.0">
                  <c:v>-6.7904661948853615</c:v>
                </c:pt>
                <c:pt idx="84" formatCode="0.0">
                  <c:v>-8.5117181629097729</c:v>
                </c:pt>
                <c:pt idx="85" formatCode="0.0">
                  <c:v>-9.2992448244949237</c:v>
                </c:pt>
                <c:pt idx="86" formatCode="0.0">
                  <c:v>-9.0736255148304839</c:v>
                </c:pt>
                <c:pt idx="87" formatCode="0.0">
                  <c:v>-7.8654444644003938</c:v>
                </c:pt>
                <c:pt idx="88" formatCode="0.0">
                  <c:v>-5.8111928593692861</c:v>
                </c:pt>
                <c:pt idx="89" formatCode="0.0">
                  <c:v>-3.1378957588290186</c:v>
                </c:pt>
                <c:pt idx="90" formatCode="0.0">
                  <c:v>-0.13816945323545227</c:v>
                </c:pt>
                <c:pt idx="91" formatCode="0.0">
                  <c:v>2.861582579592973</c:v>
                </c:pt>
                <c:pt idx="92" formatCode="0.0">
                  <c:v>5.5364154289671621</c:v>
                </c:pt>
                <c:pt idx="93" formatCode="0.0">
                  <c:v>7.5977631823087659</c:v>
                </c:pt>
                <c:pt idx="94" formatCode="0.0">
                  <c:v>8.8243185841736498</c:v>
                </c:pt>
                <c:pt idx="95" formatCode="0.0">
                  <c:v>9.085599852033873</c:v>
                </c:pt>
                <c:pt idx="96" formatCode="0.0">
                  <c:v>8.3557196509599301</c:v>
                </c:pt>
                <c:pt idx="97" formatCode="0.0">
                  <c:v>6.7159181028602459</c:v>
                </c:pt>
                <c:pt idx="98" formatCode="0.0">
                  <c:v>4.3456175415960416</c:v>
                </c:pt>
                <c:pt idx="99" formatCode="0.0">
                  <c:v>1.5029753757485318</c:v>
                </c:pt>
                <c:pt idx="100" formatCode="0.0">
                  <c:v>-1.5029753757476176</c:v>
                </c:pt>
                <c:pt idx="101" formatCode="0.0">
                  <c:v>-4.3456175415952281</c:v>
                </c:pt>
                <c:pt idx="102" formatCode="0.0">
                  <c:v>-6.7159181028596127</c:v>
                </c:pt>
                <c:pt idx="103" formatCode="0.0">
                  <c:v>-8.3557196509595606</c:v>
                </c:pt>
                <c:pt idx="104" formatCode="0.0">
                  <c:v>-9.0855998520338019</c:v>
                </c:pt>
                <c:pt idx="105" formatCode="0.0">
                  <c:v>-8.8243185841738843</c:v>
                </c:pt>
                <c:pt idx="106" formatCode="0.0">
                  <c:v>-7.597763182309281</c:v>
                </c:pt>
                <c:pt idx="107" formatCode="0.0">
                  <c:v>-5.536415428967894</c:v>
                </c:pt>
                <c:pt idx="108" formatCode="0.0">
                  <c:v>-2.8615825795938701</c:v>
                </c:pt>
                <c:pt idx="109" formatCode="0.0">
                  <c:v>0.13816945323451035</c:v>
                </c:pt>
                <c:pt idx="110" formatCode="0.0">
                  <c:v>3.1378957588281238</c:v>
                </c:pt>
                <c:pt idx="111" formatCode="0.0">
                  <c:v>5.8111928593685551</c:v>
                </c:pt>
                <c:pt idx="112" formatCode="0.0">
                  <c:v>7.8654444643998964</c:v>
                </c:pt>
                <c:pt idx="113" formatCode="0.0">
                  <c:v>9.073625514830244</c:v>
                </c:pt>
                <c:pt idx="114" formatCode="0.0">
                  <c:v>9.299244824495009</c:v>
                </c:pt>
                <c:pt idx="115" formatCode="0.0">
                  <c:v>8.5117181629101637</c:v>
                </c:pt>
                <c:pt idx="116" formatCode="0.0">
                  <c:v>6.7904661948860099</c:v>
                </c:pt>
                <c:pt idx="117" formatCode="0.0">
                  <c:v>4.3172211859606815</c:v>
                </c:pt>
                <c:pt idx="118" formatCode="0.0">
                  <c:v>1.3572784495536201</c:v>
                </c:pt>
                <c:pt idx="119" formatCode="0.0">
                  <c:v>-1.7683885380383262</c:v>
                </c:pt>
                <c:pt idx="120" formatCode="0.0">
                  <c:v>-4.717241900824094</c:v>
                </c:pt>
                <c:pt idx="121" formatCode="0.0">
                  <c:v>-7.1619262198667837</c:v>
                </c:pt>
                <c:pt idx="122" formatCode="0.0">
                  <c:v>-8.8257396119242308</c:v>
                </c:pt>
                <c:pt idx="123" formatCode="0.0">
                  <c:v>-9.5130185569584036</c:v>
                </c:pt>
                <c:pt idx="124" formatCode="0.0">
                  <c:v>-9.1311292284375387</c:v>
                </c:pt>
                <c:pt idx="125" formatCode="0.0">
                  <c:v>-7.7016169166236796</c:v>
                </c:pt>
                <c:pt idx="126" formatCode="0.0">
                  <c:v>-5.3591925697428167</c:v>
                </c:pt>
                <c:pt idx="127" formatCode="0.0">
                  <c:v>-2.3385154504607026</c:v>
                </c:pt>
                <c:pt idx="128" formatCode="0.0">
                  <c:v>1.0499698527739296</c:v>
                </c:pt>
                <c:pt idx="129" formatCode="0.0">
                  <c:v>4.4527020412801619</c:v>
                </c:pt>
                <c:pt idx="130" formatCode="0.0">
                  <c:v>7.5107989751365647</c:v>
                </c:pt>
                <c:pt idx="131" formatCode="0.0">
                  <c:v>9.8990094129009893</c:v>
                </c:pt>
                <c:pt idx="132" formatCode="0.0">
                  <c:v>11.361668551804611</c:v>
                </c:pt>
                <c:pt idx="133" formatCode="0.0">
                  <c:v>11.741761559572925</c:v>
                </c:pt>
                <c:pt idx="134" formatCode="0.0">
                  <c:v>10.999871686027459</c:v>
                </c:pt>
                <c:pt idx="135" formatCode="0.0">
                  <c:v>9.2208134059792854</c:v>
                </c:pt>
                <c:pt idx="136" formatCode="0.0">
                  <c:v>6.6070240008595089</c:v>
                </c:pt>
                <c:pt idx="137" formatCode="0.0">
                  <c:v>3.4591790938195306</c:v>
                </c:pt>
                <c:pt idx="138" formatCode="0.0">
                  <c:v>0.14586452916438386</c:v>
                </c:pt>
                <c:pt idx="139" formatCode="0.0">
                  <c:v>-2.9346653919027013</c:v>
                </c:pt>
                <c:pt idx="140" formatCode="0.0">
                  <c:v>-5.3967136352671252</c:v>
                </c:pt>
                <c:pt idx="141" formatCode="0.0">
                  <c:v>-6.9089184715105709</c:v>
                </c:pt>
                <c:pt idx="142" formatCode="0.0">
                  <c:v>-7.2311079376468346</c:v>
                </c:pt>
                <c:pt idx="143" formatCode="0.0">
                  <c:v>-6.2421816841236719</c:v>
                </c:pt>
                <c:pt idx="144" formatCode="0.0">
                  <c:v>-3.9558336725980769</c:v>
                </c:pt>
                <c:pt idx="145" formatCode="0.0">
                  <c:v>-0.52214590426385854</c:v>
                </c:pt>
                <c:pt idx="146" formatCode="0.0">
                  <c:v>3.7854655710656822</c:v>
                </c:pt>
                <c:pt idx="147" formatCode="0.0">
                  <c:v>8.5969322796372776</c:v>
                </c:pt>
                <c:pt idx="148" formatCode="0.0">
                  <c:v>13.483354603217037</c:v>
                </c:pt>
                <c:pt idx="149" formatCode="0.0">
                  <c:v>18.002232478413696</c:v>
                </c:pt>
                <c:pt idx="150" formatCode="0.0">
                  <c:v>21.745493338234205</c:v>
                </c:pt>
                <c:pt idx="151" formatCode="0.0">
                  <c:v>24.385283885710102</c:v>
                </c:pt>
                <c:pt idx="152" formatCode="0.0">
                  <c:v>25.712586859555184</c:v>
                </c:pt>
                <c:pt idx="153" formatCode="0.0">
                  <c:v>25.664337497572923</c:v>
                </c:pt>
                <c:pt idx="154" formatCode="0.0">
                  <c:v>24.335796725015584</c:v>
                </c:pt>
                <c:pt idx="155" formatCode="0.0">
                  <c:v>21.976389569239451</c:v>
                </c:pt>
                <c:pt idx="156" formatCode="0.0">
                  <c:v>18.968897935676683</c:v>
                </c:pt>
                <c:pt idx="157" formatCode="0.0">
                  <c:v>15.793639647468156</c:v>
                </c:pt>
                <c:pt idx="158" formatCode="0.0">
                  <c:v>12.980892850635811</c:v>
                </c:pt>
                <c:pt idx="159" formatCode="0.0">
                  <c:v>11.05616592879608</c:v>
                </c:pt>
                <c:pt idx="160" formatCode="0.0">
                  <c:v>10.48382193507684</c:v>
                </c:pt>
                <c:pt idx="161" formatCode="0.0">
                  <c:v>11.614937148540152</c:v>
                </c:pt>
                <c:pt idx="162" formatCode="0.0">
                  <c:v>14.645051243941108</c:v>
                </c:pt>
                <c:pt idx="163" formatCode="0.0">
                  <c:v>19.586655686030181</c:v>
                </c:pt>
                <c:pt idx="164" formatCode="0.0">
                  <c:v>26.259930785783578</c:v>
                </c:pt>
                <c:pt idx="165" formatCode="0.0">
                  <c:v>34.303498529049875</c:v>
                </c:pt>
                <c:pt idx="166" formatCode="0.0">
                  <c:v>43.204970251122099</c:v>
                </c:pt>
                <c:pt idx="167" formatCode="0.0">
                  <c:v>52.349027205550023</c:v>
                </c:pt>
                <c:pt idx="168" formatCode="0.0">
                  <c:v>61.078880792018211</c:v>
                </c:pt>
                <c:pt idx="169" formatCode="0.0">
                  <c:v>68.765411620562958</c:v>
                </c:pt>
                <c:pt idx="170" formatCode="0.0">
                  <c:v>74.877248497206693</c:v>
                </c:pt>
                <c:pt idx="171" formatCode="0.0">
                  <c:v>79.044640401543759</c:v>
                </c:pt>
                <c:pt idx="172" formatCode="0.0">
                  <c:v>81.110258929404338</c:v>
                </c:pt>
                <c:pt idx="173" formatCode="0.0">
                  <c:v>81.161041956285317</c:v>
                </c:pt>
                <c:pt idx="174" formatCode="0.0">
                  <c:v>79.536780637178396</c:v>
                </c:pt>
                <c:pt idx="175" formatCode="0.0">
                  <c:v>76.813228343736483</c:v>
                </c:pt>
                <c:pt idx="176" formatCode="0.0">
                  <c:v>73.759887901424108</c:v>
                </c:pt>
                <c:pt idx="177" formatCode="0.0">
                  <c:v>71.275094201238304</c:v>
                </c:pt>
                <c:pt idx="178" formatCode="0.0">
                  <c:v>70.303320220080138</c:v>
                </c:pt>
                <c:pt idx="179" formatCode="0.0">
                  <c:v>71.741570527576499</c:v>
                </c:pt>
                <c:pt idx="180" formatCode="0.0">
                  <c:v>76.34309152064445</c:v>
                </c:pt>
                <c:pt idx="181" formatCode="0.0">
                  <c:v>84.627274468495415</c:v>
                </c:pt>
                <c:pt idx="182" formatCode="0.0">
                  <c:v>96.804472150661368</c:v>
                </c:pt>
                <c:pt idx="183" formatCode="0.0">
                  <c:v>112.72348159593362</c:v>
                </c:pt>
                <c:pt idx="184" formatCode="0.0">
                  <c:v>131.84772897554768</c:v>
                </c:pt>
                <c:pt idx="185" formatCode="0.0">
                  <c:v>153.26386405112319</c:v>
                </c:pt>
                <c:pt idx="186" formatCode="0.0">
                  <c:v>175.72372668102707</c:v>
                </c:pt>
                <c:pt idx="187" formatCode="0.0">
                  <c:v>197.71772564341711</c:v>
                </c:pt>
                <c:pt idx="188" formatCode="0.0">
                  <c:v>217.57483094766428</c:v>
                </c:pt>
                <c:pt idx="189" formatCode="0.0">
                  <c:v>233.58188331505809</c:v>
                </c:pt>
                <c:pt idx="190" formatCode="0.0">
                  <c:v>244.11300113457858</c:v>
                </c:pt>
                <c:pt idx="191" formatCode="0.0">
                  <c:v>247.75870076130929</c:v>
                </c:pt>
                <c:pt idx="192" formatCode="0.0">
                  <c:v>243.44405998751324</c:v>
                </c:pt>
                <c:pt idx="193" formatCode="0.0">
                  <c:v>230.52588914060368</c:v>
                </c:pt>
                <c:pt idx="194" formatCode="0.0">
                  <c:v>208.86038973677574</c:v>
                </c:pt>
                <c:pt idx="195" formatCode="0.0">
                  <c:v>178.8350576833347</c:v>
                </c:pt>
                <c:pt idx="196" formatCode="0.0">
                  <c:v>141.3614379059845</c:v>
                </c:pt>
                <c:pt idx="197" formatCode="0.0">
                  <c:v>97.828518090448824</c:v>
                </c:pt>
                <c:pt idx="198" formatCode="0.0">
                  <c:v>50.019787339397631</c:v>
                </c:pt>
                <c:pt idx="199" formatCode="0.0">
                  <c:v>1.5749541369059294E-11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7-A54F-A057-F7FC93CB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x^5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Función Real f(x) = x^5</c:v>
          </c:tx>
          <c:spPr>
            <a:ln w="9525" cap="rnd">
              <a:solidFill>
                <a:schemeClr val="accent3">
                  <a:tint val="6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Serie_Fourier_Said_Carbot!$B$2:$B$201</c:f>
              <c:numCache>
                <c:formatCode>0.0000</c:formatCode>
                <c:ptCount val="200"/>
                <c:pt idx="0" formatCode="0.0">
                  <c:v>-306.01968478528141</c:v>
                </c:pt>
                <c:pt idx="1">
                  <c:v>-290.94782318186714</c:v>
                </c:pt>
                <c:pt idx="2" formatCode="0.0">
                  <c:v>-276.47574578730018</c:v>
                </c:pt>
                <c:pt idx="3" formatCode="0.0">
                  <c:v>-262.58537050992004</c:v>
                </c:pt>
                <c:pt idx="4" formatCode="0.0">
                  <c:v>-249.25898238802165</c:v>
                </c:pt>
                <c:pt idx="5" formatCode="0.0">
                  <c:v>-236.4792298244202</c:v>
                </c:pt>
                <c:pt idx="6" formatCode="0.0">
                  <c:v>-224.22912082101485</c:v>
                </c:pt>
                <c:pt idx="7" formatCode="0.0">
                  <c:v>-212.4920192133541</c:v>
                </c:pt>
                <c:pt idx="8" formatCode="0.0">
                  <c:v>-201.25164090520019</c:v>
                </c:pt>
                <c:pt idx="9" formatCode="0.0">
                  <c:v>-190.49205010309313</c:v>
                </c:pt>
                <c:pt idx="10" formatCode="0.0">
                  <c:v>-180.19765555091584</c:v>
                </c:pt>
                <c:pt idx="11" formatCode="0.0">
                  <c:v>-170.35320676445872</c:v>
                </c:pt>
                <c:pt idx="12" formatCode="0.0">
                  <c:v>-160.94379026598369</c:v>
                </c:pt>
                <c:pt idx="13" formatCode="0.0">
                  <c:v>-151.95482581878935</c:v>
                </c:pt>
                <c:pt idx="14" formatCode="0.0">
                  <c:v>-143.37206266177495</c:v>
                </c:pt>
                <c:pt idx="15" formatCode="0.0">
                  <c:v>-135.18157574400561</c:v>
                </c:pt>
                <c:pt idx="16" formatCode="0.0">
                  <c:v>-127.36976195927626</c:v>
                </c:pt>
                <c:pt idx="17" formatCode="0.0">
                  <c:v>-119.92333638067667</c:v>
                </c:pt>
                <c:pt idx="18" formatCode="0.0">
                  <c:v>-112.82932849515571</c:v>
                </c:pt>
                <c:pt idx="19" formatCode="0.0">
                  <c:v>-106.07507843808601</c:v>
                </c:pt>
                <c:pt idx="20" formatCode="0.0">
                  <c:v>-99.648233227828598</c:v>
                </c:pt>
                <c:pt idx="21" formatCode="0.0">
                  <c:v>-93.536743000297335</c:v>
                </c:pt>
                <c:pt idx="22" formatCode="0.0">
                  <c:v>-87.728857243523521</c:v>
                </c:pt>
                <c:pt idx="23" formatCode="0.0">
                  <c:v>-82.213121032220513</c:v>
                </c:pt>
                <c:pt idx="24" formatCode="0.0">
                  <c:v>-76.978371262348205</c:v>
                </c:pt>
                <c:pt idx="25" formatCode="0.0">
                  <c:v>-72.013732885677612</c:v>
                </c:pt>
                <c:pt idx="26" formatCode="0.0">
                  <c:v>-67.308615144355457</c:v>
                </c:pt>
                <c:pt idx="27" formatCode="0.0">
                  <c:v>-62.852707805468704</c:v>
                </c:pt>
                <c:pt idx="28" formatCode="0.0">
                  <c:v>-58.635977395609153</c:v>
                </c:pt>
                <c:pt idx="29" formatCode="0.0">
                  <c:v>-54.648663435437911</c:v>
                </c:pt>
                <c:pt idx="30" formatCode="0.0">
                  <c:v>-50.881274674250072</c:v>
                </c:pt>
                <c:pt idx="31" formatCode="0.0">
                  <c:v>-47.324585324539228</c:v>
                </c:pt>
                <c:pt idx="32" formatCode="0.0">
                  <c:v>-43.969631296561964</c:v>
                </c:pt>
                <c:pt idx="33" formatCode="0.0">
                  <c:v>-40.807706432902542</c:v>
                </c:pt>
                <c:pt idx="34" formatCode="0.0">
                  <c:v>-37.830358743037351</c:v>
                </c:pt>
                <c:pt idx="35" formatCode="0.0">
                  <c:v>-35.029386637899513</c:v>
                </c:pt>
                <c:pt idx="36" formatCode="0.0">
                  <c:v>-32.396835164443495</c:v>
                </c:pt>
                <c:pt idx="37" formatCode="0.0">
                  <c:v>-29.924992240209566</c:v>
                </c:pt>
                <c:pt idx="38" formatCode="0.0">
                  <c:v>-27.60638488788841</c:v>
                </c:pt>
                <c:pt idx="39" formatCode="0.0">
                  <c:v>-25.433775469885727</c:v>
                </c:pt>
                <c:pt idx="40" formatCode="0.0">
                  <c:v>-23.400157922886702</c:v>
                </c:pt>
                <c:pt idx="41" formatCode="0.0">
                  <c:v>-21.498753992420657</c:v>
                </c:pt>
                <c:pt idx="42" formatCode="0.0">
                  <c:v>-19.723009467425534</c:v>
                </c:pt>
                <c:pt idx="43" formatCode="0.0">
                  <c:v>-18.066590414812524</c:v>
                </c:pt>
                <c:pt idx="44" formatCode="0.0">
                  <c:v>-16.523379414030572</c:v>
                </c:pt>
                <c:pt idx="45" formatCode="0.0">
                  <c:v>-15.087471791630971</c:v>
                </c:pt>
                <c:pt idx="46" formatCode="0.0">
                  <c:v>-13.753171855831901</c:v>
                </c:pt>
                <c:pt idx="47" formatCode="0.0">
                  <c:v>-12.514989131083016</c:v>
                </c:pt>
                <c:pt idx="48" formatCode="0.0">
                  <c:v>-11.367634592629972</c:v>
                </c:pt>
                <c:pt idx="49" formatCode="0.0">
                  <c:v>-10.306016901079014</c:v>
                </c:pt>
                <c:pt idx="50" formatCode="0.0">
                  <c:v>-9.325238636961517</c:v>
                </c:pt>
                <c:pt idx="51" formatCode="0.0">
                  <c:v>-8.4205925352985638</c:v>
                </c:pt>
                <c:pt idx="52" formatCode="0.0">
                  <c:v>-7.5875577201654911</c:v>
                </c:pt>
                <c:pt idx="53" formatCode="0.0">
                  <c:v>-6.8217959392564653</c:v>
                </c:pt>
                <c:pt idx="54" formatCode="0.0">
                  <c:v>-6.1191477984490215</c:v>
                </c:pt>
                <c:pt idx="55" formatCode="0.0">
                  <c:v>-5.4756289963686386</c:v>
                </c:pt>
                <c:pt idx="56" formatCode="0.0">
                  <c:v>-4.8874265589533055</c:v>
                </c:pt>
                <c:pt idx="57" formatCode="0.0">
                  <c:v>-4.3508950740180623</c:v>
                </c:pt>
                <c:pt idx="58" formatCode="0.0">
                  <c:v>-3.8625529258195788</c:v>
                </c:pt>
                <c:pt idx="59" formatCode="0.0">
                  <c:v>-3.4190785296207031</c:v>
                </c:pt>
                <c:pt idx="60" formatCode="0.0">
                  <c:v>-3.0173065662550274</c:v>
                </c:pt>
                <c:pt idx="61" formatCode="0.0">
                  <c:v>-2.6542242166914485</c:v>
                </c:pt>
                <c:pt idx="62" formatCode="0.0">
                  <c:v>-2.3269673965987279</c:v>
                </c:pt>
                <c:pt idx="63" formatCode="0.0">
                  <c:v>-2.0328169909100477</c:v>
                </c:pt>
                <c:pt idx="64" formatCode="0.0">
                  <c:v>-1.7691950883875776</c:v>
                </c:pt>
                <c:pt idx="65" formatCode="0.0">
                  <c:v>-1.5336612161870327</c:v>
                </c:pt>
                <c:pt idx="66" formatCode="0.0">
                  <c:v>-1.3239085744222316</c:v>
                </c:pt>
                <c:pt idx="67" formatCode="0.0">
                  <c:v>-1.1377602707296608</c:v>
                </c:pt>
                <c:pt idx="68" formatCode="0.0">
                  <c:v>-0.97316555483303102</c:v>
                </c:pt>
                <c:pt idx="69" formatCode="0.0">
                  <c:v>-0.82819605310784217</c:v>
                </c:pt>
                <c:pt idx="70" formatCode="0.0">
                  <c:v>-0.70104200314594001</c:v>
                </c:pt>
                <c:pt idx="71" formatCode="0.0">
                  <c:v>-0.59000848832007802</c:v>
                </c:pt>
                <c:pt idx="72" formatCode="0.0">
                  <c:v>-0.4935116723484777</c:v>
                </c:pt>
                <c:pt idx="73" formatCode="0.0">
                  <c:v>-0.4100750338593887</c:v>
                </c:pt>
                <c:pt idx="74" formatCode="0.0">
                  <c:v>-0.33832560095564979</c:v>
                </c:pt>
                <c:pt idx="75" formatCode="0.0">
                  <c:v>-0.27699018577924872</c:v>
                </c:pt>
                <c:pt idx="76" formatCode="0.0">
                  <c:v>-0.22489161907588293</c:v>
                </c:pt>
                <c:pt idx="77" formatCode="0.0">
                  <c:v>-0.18094498475951981</c:v>
                </c:pt>
                <c:pt idx="78" formatCode="0.0">
                  <c:v>-0.14415385447695728</c:v>
                </c:pt>
                <c:pt idx="79" formatCode="0.0">
                  <c:v>-0.11360652217238394</c:v>
                </c:pt>
                <c:pt idx="80" formatCode="0.0">
                  <c:v>-8.8472238651939747E-2</c:v>
                </c:pt>
                <c:pt idx="81" formatCode="0.0">
                  <c:v>-6.7997446148276242E-2</c:v>
                </c:pt>
                <c:pt idx="82" formatCode="0.0">
                  <c:v>-5.1502012885117077E-2</c:v>
                </c:pt>
                <c:pt idx="83" formatCode="0.0">
                  <c:v>-3.837546764181831E-2</c:v>
                </c:pt>
                <c:pt idx="84" formatCode="0.0">
                  <c:v>-2.8073234317928866E-2</c:v>
                </c:pt>
                <c:pt idx="85" formatCode="0.0">
                  <c:v>-2.011286649775099E-2</c:v>
                </c:pt>
                <c:pt idx="86" formatCode="0.0">
                  <c:v>-1.4070282014900567E-2</c:v>
                </c:pt>
                <c:pt idx="87" formatCode="0.0">
                  <c:v>-9.5759975168675879E-3</c:v>
                </c:pt>
                <c:pt idx="88" formatCode="0.0">
                  <c:v>-6.3113630295765404E-3</c:v>
                </c:pt>
                <c:pt idx="89" formatCode="0.0">
                  <c:v>-4.0047965219468145E-3</c:v>
                </c:pt>
                <c:pt idx="90" formatCode="0.0">
                  <c:v>-2.4280184704531201E-3</c:v>
                </c:pt>
                <c:pt idx="91" formatCode="0.0">
                  <c:v>-1.3922864236858813E-3</c:v>
                </c:pt>
                <c:pt idx="92" formatCode="0.0">
                  <c:v>-7.4462956691165295E-4</c:v>
                </c:pt>
                <c:pt idx="93" formatCode="0.0">
                  <c:v>-3.6408328663352466E-4</c:v>
                </c:pt>
                <c:pt idx="94" formatCode="0.0">
                  <c:v>-1.5792373515153001E-4</c:v>
                </c:pt>
                <c:pt idx="95" formatCode="0.0">
                  <c:v>-5.7902395123054097E-5</c:v>
                </c:pt>
                <c:pt idx="96" formatCode="0.0">
                  <c:v>-1.6480644123240315E-5</c:v>
                </c:pt>
                <c:pt idx="97" formatCode="0.0">
                  <c:v>-3.0643192053983758E-6</c:v>
                </c:pt>
                <c:pt idx="98" formatCode="0.0">
                  <c:v>-2.3828146141182646E-7</c:v>
                </c:pt>
                <c:pt idx="99" formatCode="0.0">
                  <c:v>-9.8058214572868375E-10</c:v>
                </c:pt>
                <c:pt idx="100" formatCode="0.0">
                  <c:v>9.8058214572567529E-10</c:v>
                </c:pt>
                <c:pt idx="101" formatCode="0.0">
                  <c:v>2.3828146141158275E-7</c:v>
                </c:pt>
                <c:pt idx="102" formatCode="0.0">
                  <c:v>3.0643192053964958E-6</c:v>
                </c:pt>
                <c:pt idx="103" formatCode="0.0">
                  <c:v>1.6480644123233092E-5</c:v>
                </c:pt>
                <c:pt idx="104" formatCode="0.0">
                  <c:v>5.7902395123034344E-5</c:v>
                </c:pt>
                <c:pt idx="105" formatCode="0.0">
                  <c:v>1.5792373515148594E-4</c:v>
                </c:pt>
                <c:pt idx="106" formatCode="0.0">
                  <c:v>3.6408328663343874E-4</c:v>
                </c:pt>
                <c:pt idx="107" formatCode="0.0">
                  <c:v>7.4462956691150062E-4</c:v>
                </c:pt>
                <c:pt idx="108" formatCode="0.0">
                  <c:v>1.3922864236856312E-3</c:v>
                </c:pt>
                <c:pt idx="109" formatCode="0.0">
                  <c:v>2.4280184704527294E-3</c:v>
                </c:pt>
                <c:pt idx="110" formatCode="0.0">
                  <c:v>4.0047965219462316E-3</c:v>
                </c:pt>
                <c:pt idx="111" formatCode="0.0">
                  <c:v>6.3113630295756999E-3</c:v>
                </c:pt>
                <c:pt idx="112" formatCode="0.0">
                  <c:v>9.5759975168664153E-3</c:v>
                </c:pt>
                <c:pt idx="113" formatCode="0.0">
                  <c:v>1.4070282014898971E-2</c:v>
                </c:pt>
                <c:pt idx="114" formatCode="0.0">
                  <c:v>2.0112866497748873E-2</c:v>
                </c:pt>
                <c:pt idx="115" formatCode="0.0">
                  <c:v>2.8073234317926105E-2</c:v>
                </c:pt>
                <c:pt idx="116" formatCode="0.0">
                  <c:v>3.8375467641814737E-2</c:v>
                </c:pt>
                <c:pt idx="117" formatCode="0.0">
                  <c:v>5.150201288511258E-2</c:v>
                </c:pt>
                <c:pt idx="118" formatCode="0.0">
                  <c:v>6.7997446148270621E-2</c:v>
                </c:pt>
                <c:pt idx="119" formatCode="0.0">
                  <c:v>8.847223865193278E-2</c:v>
                </c:pt>
                <c:pt idx="120" formatCode="0.0">
                  <c:v>0.11360652217237546</c:v>
                </c:pt>
                <c:pt idx="121" formatCode="0.0">
                  <c:v>0.14415385447694704</c:v>
                </c:pt>
                <c:pt idx="122" formatCode="0.0">
                  <c:v>0.18094498475950757</c:v>
                </c:pt>
                <c:pt idx="123" formatCode="0.0">
                  <c:v>0.2248916190758683</c:v>
                </c:pt>
                <c:pt idx="124" formatCode="0.0">
                  <c:v>0.27699018577923151</c:v>
                </c:pt>
                <c:pt idx="125" formatCode="0.0">
                  <c:v>0.33832560095562952</c:v>
                </c:pt>
                <c:pt idx="126" formatCode="0.0">
                  <c:v>0.41007503385936511</c:v>
                </c:pt>
                <c:pt idx="127" formatCode="0.0">
                  <c:v>0.49351167234845023</c:v>
                </c:pt>
                <c:pt idx="128" formatCode="0.0">
                  <c:v>0.59000848832004638</c:v>
                </c:pt>
                <c:pt idx="129" formatCode="0.0">
                  <c:v>0.70104200314590359</c:v>
                </c:pt>
                <c:pt idx="130" formatCode="0.0">
                  <c:v>0.82819605310780053</c:v>
                </c:pt>
                <c:pt idx="131" formatCode="0.0">
                  <c:v>0.97316555483298384</c:v>
                </c:pt>
                <c:pt idx="132" formatCode="0.0">
                  <c:v>1.1377602707296066</c:v>
                </c:pt>
                <c:pt idx="133" formatCode="0.0">
                  <c:v>1.3239085744221706</c:v>
                </c:pt>
                <c:pt idx="134" formatCode="0.0">
                  <c:v>1.5336612161869638</c:v>
                </c:pt>
                <c:pt idx="135" formatCode="0.0">
                  <c:v>1.7691950883875009</c:v>
                </c:pt>
                <c:pt idx="136" formatCode="0.0">
                  <c:v>2.0328169909099612</c:v>
                </c:pt>
                <c:pt idx="137" formatCode="0.0">
                  <c:v>2.3269673965986319</c:v>
                </c:pt>
                <c:pt idx="138" formatCode="0.0">
                  <c:v>2.6542242166913419</c:v>
                </c:pt>
                <c:pt idx="139" formatCode="0.0">
                  <c:v>3.0173065662549088</c:v>
                </c:pt>
                <c:pt idx="140" formatCode="0.0">
                  <c:v>3.4190785296205721</c:v>
                </c:pt>
                <c:pt idx="141" formatCode="0.0">
                  <c:v>3.8625529258194344</c:v>
                </c:pt>
                <c:pt idx="142" formatCode="0.0">
                  <c:v>4.3508950740179042</c:v>
                </c:pt>
                <c:pt idx="143" formatCode="0.0">
                  <c:v>4.8874265589531314</c:v>
                </c:pt>
                <c:pt idx="144" formatCode="0.0">
                  <c:v>5.4756289963684477</c:v>
                </c:pt>
                <c:pt idx="145" formatCode="0.0">
                  <c:v>6.1191477984488136</c:v>
                </c:pt>
                <c:pt idx="146" formatCode="0.0">
                  <c:v>6.821795939256238</c:v>
                </c:pt>
                <c:pt idx="147" formatCode="0.0">
                  <c:v>7.5875577201652451</c:v>
                </c:pt>
                <c:pt idx="148" formatCode="0.0">
                  <c:v>8.4205925352982938</c:v>
                </c:pt>
                <c:pt idx="149" formatCode="0.0">
                  <c:v>9.3252386369612239</c:v>
                </c:pt>
                <c:pt idx="150" formatCode="0.0">
                  <c:v>10.306016901078696</c:v>
                </c:pt>
                <c:pt idx="151" formatCode="0.0">
                  <c:v>11.367634592629633</c:v>
                </c:pt>
                <c:pt idx="152" formatCode="0.0">
                  <c:v>12.514989131082647</c:v>
                </c:pt>
                <c:pt idx="153" formatCode="0.0">
                  <c:v>13.753171855831507</c:v>
                </c:pt>
                <c:pt idx="154" formatCode="0.0">
                  <c:v>15.087471791630543</c:v>
                </c:pt>
                <c:pt idx="155" formatCode="0.0">
                  <c:v>16.523379414030114</c:v>
                </c:pt>
                <c:pt idx="156" formatCode="0.0">
                  <c:v>18.06659041481203</c:v>
                </c:pt>
                <c:pt idx="157" formatCode="0.0">
                  <c:v>19.723009467425001</c:v>
                </c:pt>
                <c:pt idx="158" formatCode="0.0">
                  <c:v>21.498753992420081</c:v>
                </c:pt>
                <c:pt idx="159" formatCode="0.0">
                  <c:v>23.400157922886095</c:v>
                </c:pt>
                <c:pt idx="160" formatCode="0.0">
                  <c:v>25.433775469885074</c:v>
                </c:pt>
                <c:pt idx="161" formatCode="0.0">
                  <c:v>27.606384887887721</c:v>
                </c:pt>
                <c:pt idx="162" formatCode="0.0">
                  <c:v>29.924992240208823</c:v>
                </c:pt>
                <c:pt idx="163" formatCode="0.0">
                  <c:v>32.396835164442713</c:v>
                </c:pt>
                <c:pt idx="164" formatCode="0.0">
                  <c:v>35.029386637898675</c:v>
                </c:pt>
                <c:pt idx="165" formatCode="0.0">
                  <c:v>37.830358743036442</c:v>
                </c:pt>
                <c:pt idx="166" formatCode="0.0">
                  <c:v>40.80770643290159</c:v>
                </c:pt>
                <c:pt idx="167" formatCode="0.0">
                  <c:v>43.969631296560976</c:v>
                </c:pt>
                <c:pt idx="168" formatCode="0.0">
                  <c:v>47.32458532453817</c:v>
                </c:pt>
                <c:pt idx="169" formatCode="0.0">
                  <c:v>50.881274674248942</c:v>
                </c:pt>
                <c:pt idx="170" formatCode="0.0">
                  <c:v>54.648663435436717</c:v>
                </c:pt>
                <c:pt idx="171" formatCode="0.0">
                  <c:v>58.635977395607867</c:v>
                </c:pt>
                <c:pt idx="172" formatCode="0.0">
                  <c:v>62.852707805467368</c:v>
                </c:pt>
                <c:pt idx="173" formatCode="0.0">
                  <c:v>67.308615144354036</c:v>
                </c:pt>
                <c:pt idx="174" formatCode="0.0">
                  <c:v>72.01373288567612</c:v>
                </c:pt>
                <c:pt idx="175" formatCode="0.0">
                  <c:v>76.978371262346613</c:v>
                </c:pt>
                <c:pt idx="176" formatCode="0.0">
                  <c:v>82.213121032218822</c:v>
                </c:pt>
                <c:pt idx="177" formatCode="0.0">
                  <c:v>87.728857243521773</c:v>
                </c:pt>
                <c:pt idx="178" formatCode="0.0">
                  <c:v>93.536743000295459</c:v>
                </c:pt>
                <c:pt idx="179" formatCode="0.0">
                  <c:v>99.648233227826651</c:v>
                </c:pt>
                <c:pt idx="180" formatCode="0.0">
                  <c:v>106.07507843808398</c:v>
                </c:pt>
                <c:pt idx="181" formatCode="0.0">
                  <c:v>112.82932849515358</c:v>
                </c:pt>
                <c:pt idx="182" formatCode="0.0">
                  <c:v>119.92333638067444</c:v>
                </c:pt>
                <c:pt idx="183" formatCode="0.0">
                  <c:v>127.36976195927392</c:v>
                </c:pt>
                <c:pt idx="184" formatCode="0.0">
                  <c:v>135.18157574400314</c:v>
                </c:pt>
                <c:pt idx="185" formatCode="0.0">
                  <c:v>143.37206266177236</c:v>
                </c:pt>
                <c:pt idx="186" formatCode="0.0">
                  <c:v>151.95482581878662</c:v>
                </c:pt>
                <c:pt idx="187" formatCode="0.0">
                  <c:v>160.94379026598085</c:v>
                </c:pt>
                <c:pt idx="188" formatCode="0.0">
                  <c:v>170.35320676445576</c:v>
                </c:pt>
                <c:pt idx="189" formatCode="0.0">
                  <c:v>180.19765555091274</c:v>
                </c:pt>
                <c:pt idx="190" formatCode="0.0">
                  <c:v>190.49205010308981</c:v>
                </c:pt>
                <c:pt idx="191" formatCode="0.0">
                  <c:v>201.25164090519675</c:v>
                </c:pt>
                <c:pt idx="192" formatCode="0.0">
                  <c:v>212.49201921335057</c:v>
                </c:pt>
                <c:pt idx="193" formatCode="0.0">
                  <c:v>224.22912082101109</c:v>
                </c:pt>
                <c:pt idx="194" formatCode="0.0">
                  <c:v>236.47922982441628</c:v>
                </c:pt>
                <c:pt idx="195" formatCode="0.0">
                  <c:v>249.25898238801764</c:v>
                </c:pt>
                <c:pt idx="196" formatCode="0.0">
                  <c:v>262.58537050991578</c:v>
                </c:pt>
                <c:pt idx="197" formatCode="0.0">
                  <c:v>276.47574578729581</c:v>
                </c:pt>
                <c:pt idx="198" formatCode="0.0">
                  <c:v>290.94782318186253</c:v>
                </c:pt>
                <c:pt idx="199" formatCode="0.0">
                  <c:v>306.01968478527658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6-944F-B5BF-F6BCAC051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Serie de Fourier (N=10)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Serie de Fourier (10 términos)</c:v>
          </c:tx>
          <c:spPr>
            <a:ln w="9525" cap="rnd">
              <a:solidFill>
                <a:schemeClr val="accent3">
                  <a:tint val="58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Serie_Fourier_Said_Carbot!$C$2:$C$201</c:f>
              <c:numCache>
                <c:formatCode>0.0000</c:formatCode>
                <c:ptCount val="200"/>
                <c:pt idx="0" formatCode="0.0">
                  <c:v>-1.954593634191964E-13</c:v>
                </c:pt>
                <c:pt idx="1">
                  <c:v>-50.019787339382404</c:v>
                </c:pt>
                <c:pt idx="2" formatCode="0.0">
                  <c:v>-97.828518090434628</c:v>
                </c:pt>
                <c:pt idx="3" formatCode="0.0">
                  <c:v>-141.36143790597185</c:v>
                </c:pt>
                <c:pt idx="4" formatCode="0.0">
                  <c:v>-178.83505768332418</c:v>
                </c:pt>
                <c:pt idx="5" formatCode="0.0">
                  <c:v>-208.86038973676779</c:v>
                </c:pt>
                <c:pt idx="6" formatCode="0.0">
                  <c:v>-230.52588914059828</c:v>
                </c:pt>
                <c:pt idx="7" formatCode="0.0">
                  <c:v>-243.44405998751051</c:v>
                </c:pt>
                <c:pt idx="8" formatCode="0.0">
                  <c:v>-247.75870076130934</c:v>
                </c:pt>
                <c:pt idx="9" formatCode="0.0">
                  <c:v>-244.11300113458086</c:v>
                </c:pt>
                <c:pt idx="10" formatCode="0.0">
                  <c:v>-233.58188331506236</c:v>
                </c:pt>
                <c:pt idx="11" formatCode="0.0">
                  <c:v>-217.57483094766988</c:v>
                </c:pt>
                <c:pt idx="12" formatCode="0.0">
                  <c:v>-197.71772564342368</c:v>
                </c:pt>
                <c:pt idx="13" formatCode="0.0">
                  <c:v>-175.72372668103407</c:v>
                </c:pt>
                <c:pt idx="14" formatCode="0.0">
                  <c:v>-153.26386405113013</c:v>
                </c:pt>
                <c:pt idx="15" formatCode="0.0">
                  <c:v>-131.84772897555402</c:v>
                </c:pt>
                <c:pt idx="16" formatCode="0.0">
                  <c:v>-112.72348159593908</c:v>
                </c:pt>
                <c:pt idx="17" formatCode="0.0">
                  <c:v>-96.804472150665717</c:v>
                </c:pt>
                <c:pt idx="18" formatCode="0.0">
                  <c:v>-84.627274468498541</c:v>
                </c:pt>
                <c:pt idx="19" formatCode="0.0">
                  <c:v>-76.343091520646482</c:v>
                </c:pt>
                <c:pt idx="20" formatCode="0.0">
                  <c:v>-71.741570527577466</c:v>
                </c:pt>
                <c:pt idx="21" formatCode="0.0">
                  <c:v>-70.303320220080138</c:v>
                </c:pt>
                <c:pt idx="22" formatCode="0.0">
                  <c:v>-71.275094201237721</c:v>
                </c:pt>
                <c:pt idx="23" formatCode="0.0">
                  <c:v>-73.759887901423227</c:v>
                </c:pt>
                <c:pt idx="24" formatCode="0.0">
                  <c:v>-76.813228343735531</c:v>
                </c:pt>
                <c:pt idx="25" formatCode="0.0">
                  <c:v>-79.536780637177685</c:v>
                </c:pt>
                <c:pt idx="26" formatCode="0.0">
                  <c:v>-81.161041956285118</c:v>
                </c:pt>
                <c:pt idx="27" formatCode="0.0">
                  <c:v>-81.110258929404665</c:v>
                </c:pt>
                <c:pt idx="28" formatCode="0.0">
                  <c:v>-79.044640401544655</c:v>
                </c:pt>
                <c:pt idx="29" formatCode="0.0">
                  <c:v>-74.877248497208384</c:v>
                </c:pt>
                <c:pt idx="30" formatCode="0.0">
                  <c:v>-68.765411620565004</c:v>
                </c:pt>
                <c:pt idx="31" formatCode="0.0">
                  <c:v>-61.078880792020747</c:v>
                </c:pt>
                <c:pt idx="32" formatCode="0.0">
                  <c:v>-52.349027205552851</c:v>
                </c:pt>
                <c:pt idx="33" formatCode="0.0">
                  <c:v>-43.204970251124877</c:v>
                </c:pt>
                <c:pt idx="34" formatCode="0.0">
                  <c:v>-34.30349852905254</c:v>
                </c:pt>
                <c:pt idx="35" formatCode="0.0">
                  <c:v>-26.259930785785915</c:v>
                </c:pt>
                <c:pt idx="36" formatCode="0.0">
                  <c:v>-19.586655686031996</c:v>
                </c:pt>
                <c:pt idx="37" formatCode="0.0">
                  <c:v>-14.645051243942296</c:v>
                </c:pt>
                <c:pt idx="38" formatCode="0.0">
                  <c:v>-11.614937148540854</c:v>
                </c:pt>
                <c:pt idx="39" formatCode="0.0">
                  <c:v>-10.48382193507701</c:v>
                </c:pt>
                <c:pt idx="40" formatCode="0.0">
                  <c:v>-11.056165928795574</c:v>
                </c:pt>
                <c:pt idx="41" formatCode="0.0">
                  <c:v>-12.980892850634991</c:v>
                </c:pt>
                <c:pt idx="42" formatCode="0.0">
                  <c:v>-15.793639647467097</c:v>
                </c:pt>
                <c:pt idx="43" formatCode="0.0">
                  <c:v>-18.968897935675816</c:v>
                </c:pt>
                <c:pt idx="44" formatCode="0.0">
                  <c:v>-21.97638956923867</c:v>
                </c:pt>
                <c:pt idx="45" formatCode="0.0">
                  <c:v>-24.335796725014884</c:v>
                </c:pt>
                <c:pt idx="46" formatCode="0.0">
                  <c:v>-25.664337497572745</c:v>
                </c:pt>
                <c:pt idx="47" formatCode="0.0">
                  <c:v>-25.712586859555458</c:v>
                </c:pt>
                <c:pt idx="48" formatCode="0.0">
                  <c:v>-24.38528388571072</c:v>
                </c:pt>
                <c:pt idx="49" formatCode="0.0">
                  <c:v>-21.745493338235175</c:v>
                </c:pt>
                <c:pt idx="50" formatCode="0.0">
                  <c:v>-18.002232478414992</c:v>
                </c:pt>
                <c:pt idx="51" formatCode="0.0">
                  <c:v>-13.483354603218515</c:v>
                </c:pt>
                <c:pt idx="52" formatCode="0.0">
                  <c:v>-8.5969322796387839</c:v>
                </c:pt>
                <c:pt idx="53" formatCode="0.0">
                  <c:v>-3.7854655710671459</c:v>
                </c:pt>
                <c:pt idx="54" formatCode="0.0">
                  <c:v>0.52214590426268614</c:v>
                </c:pt>
                <c:pt idx="55" formatCode="0.0">
                  <c:v>3.9558336725972492</c:v>
                </c:pt>
                <c:pt idx="56" formatCode="0.0">
                  <c:v>6.2421816841231177</c:v>
                </c:pt>
                <c:pt idx="57" formatCode="0.0">
                  <c:v>7.2311079376466836</c:v>
                </c:pt>
                <c:pt idx="58" formatCode="0.0">
                  <c:v>6.9089184715108285</c:v>
                </c:pt>
                <c:pt idx="59" formatCode="0.0">
                  <c:v>5.3967136352678038</c:v>
                </c:pt>
                <c:pt idx="60" formatCode="0.0">
                  <c:v>2.9346653919036028</c:v>
                </c:pt>
                <c:pt idx="61" formatCode="0.0">
                  <c:v>-0.14586452916339621</c:v>
                </c:pt>
                <c:pt idx="62" formatCode="0.0">
                  <c:v>-3.4591790938185198</c:v>
                </c:pt>
                <c:pt idx="63" formatCode="0.0">
                  <c:v>-6.6070240008586083</c:v>
                </c:pt>
                <c:pt idx="64" formatCode="0.0">
                  <c:v>-9.2208134059785856</c:v>
                </c:pt>
                <c:pt idx="65" formatCode="0.0">
                  <c:v>-10.99987168602706</c:v>
                </c:pt>
                <c:pt idx="66" formatCode="0.0">
                  <c:v>-11.741761559572831</c:v>
                </c:pt>
                <c:pt idx="67" formatCode="0.0">
                  <c:v>-11.361668551804893</c:v>
                </c:pt>
                <c:pt idx="68" formatCode="0.0">
                  <c:v>-9.8990094129016235</c:v>
                </c:pt>
                <c:pt idx="69" formatCode="0.0">
                  <c:v>-7.5107989751373534</c:v>
                </c:pt>
                <c:pt idx="70" formatCode="0.0">
                  <c:v>-4.4527020412811318</c:v>
                </c:pt>
                <c:pt idx="71" formatCode="0.0">
                  <c:v>-1.049969852774983</c:v>
                </c:pt>
                <c:pt idx="72" formatCode="0.0">
                  <c:v>2.3385154504597079</c:v>
                </c:pt>
                <c:pt idx="73" formatCode="0.0">
                  <c:v>5.3591925697419782</c:v>
                </c:pt>
                <c:pt idx="74" formatCode="0.0">
                  <c:v>7.7016169166231023</c:v>
                </c:pt>
                <c:pt idx="75" formatCode="0.0">
                  <c:v>9.1311292284372492</c:v>
                </c:pt>
                <c:pt idx="76" formatCode="0.0">
                  <c:v>9.5130185569584569</c:v>
                </c:pt>
                <c:pt idx="77" formatCode="0.0">
                  <c:v>8.8257396119245808</c:v>
                </c:pt>
                <c:pt idx="78" formatCode="0.0">
                  <c:v>7.1619262198673965</c:v>
                </c:pt>
                <c:pt idx="79" formatCode="0.0">
                  <c:v>4.7172419008249378</c:v>
                </c:pt>
                <c:pt idx="80" formatCode="0.0">
                  <c:v>1.7683885380393072</c:v>
                </c:pt>
                <c:pt idx="81" formatCode="0.0">
                  <c:v>-1.357278449552684</c:v>
                </c:pt>
                <c:pt idx="82" formatCode="0.0">
                  <c:v>-4.3172211859598395</c:v>
                </c:pt>
                <c:pt idx="83" formatCode="0.0">
                  <c:v>-6.7904661948853615</c:v>
                </c:pt>
                <c:pt idx="84" formatCode="0.0">
                  <c:v>-8.5117181629097729</c:v>
                </c:pt>
                <c:pt idx="85" formatCode="0.0">
                  <c:v>-9.2992448244949237</c:v>
                </c:pt>
                <c:pt idx="86" formatCode="0.0">
                  <c:v>-9.0736255148304839</c:v>
                </c:pt>
                <c:pt idx="87" formatCode="0.0">
                  <c:v>-7.8654444644003938</c:v>
                </c:pt>
                <c:pt idx="88" formatCode="0.0">
                  <c:v>-5.8111928593692861</c:v>
                </c:pt>
                <c:pt idx="89" formatCode="0.0">
                  <c:v>-3.1378957588290186</c:v>
                </c:pt>
                <c:pt idx="90" formatCode="0.0">
                  <c:v>-0.13816945323545227</c:v>
                </c:pt>
                <c:pt idx="91" formatCode="0.0">
                  <c:v>2.861582579592973</c:v>
                </c:pt>
                <c:pt idx="92" formatCode="0.0">
                  <c:v>5.5364154289671621</c:v>
                </c:pt>
                <c:pt idx="93" formatCode="0.0">
                  <c:v>7.5977631823087659</c:v>
                </c:pt>
                <c:pt idx="94" formatCode="0.0">
                  <c:v>8.8243185841736498</c:v>
                </c:pt>
                <c:pt idx="95" formatCode="0.0">
                  <c:v>9.085599852033873</c:v>
                </c:pt>
                <c:pt idx="96" formatCode="0.0">
                  <c:v>8.3557196509599301</c:v>
                </c:pt>
                <c:pt idx="97" formatCode="0.0">
                  <c:v>6.7159181028602459</c:v>
                </c:pt>
                <c:pt idx="98" formatCode="0.0">
                  <c:v>4.3456175415960416</c:v>
                </c:pt>
                <c:pt idx="99" formatCode="0.0">
                  <c:v>1.5029753757485318</c:v>
                </c:pt>
                <c:pt idx="100" formatCode="0.0">
                  <c:v>-1.5029753757476176</c:v>
                </c:pt>
                <c:pt idx="101" formatCode="0.0">
                  <c:v>-4.3456175415952281</c:v>
                </c:pt>
                <c:pt idx="102" formatCode="0.0">
                  <c:v>-6.7159181028596127</c:v>
                </c:pt>
                <c:pt idx="103" formatCode="0.0">
                  <c:v>-8.3557196509595606</c:v>
                </c:pt>
                <c:pt idx="104" formatCode="0.0">
                  <c:v>-9.0855998520338019</c:v>
                </c:pt>
                <c:pt idx="105" formatCode="0.0">
                  <c:v>-8.8243185841738843</c:v>
                </c:pt>
                <c:pt idx="106" formatCode="0.0">
                  <c:v>-7.597763182309281</c:v>
                </c:pt>
                <c:pt idx="107" formatCode="0.0">
                  <c:v>-5.536415428967894</c:v>
                </c:pt>
                <c:pt idx="108" formatCode="0.0">
                  <c:v>-2.8615825795938701</c:v>
                </c:pt>
                <c:pt idx="109" formatCode="0.0">
                  <c:v>0.13816945323451035</c:v>
                </c:pt>
                <c:pt idx="110" formatCode="0.0">
                  <c:v>3.1378957588281238</c:v>
                </c:pt>
                <c:pt idx="111" formatCode="0.0">
                  <c:v>5.8111928593685551</c:v>
                </c:pt>
                <c:pt idx="112" formatCode="0.0">
                  <c:v>7.8654444643998964</c:v>
                </c:pt>
                <c:pt idx="113" formatCode="0.0">
                  <c:v>9.073625514830244</c:v>
                </c:pt>
                <c:pt idx="114" formatCode="0.0">
                  <c:v>9.299244824495009</c:v>
                </c:pt>
                <c:pt idx="115" formatCode="0.0">
                  <c:v>8.5117181629101637</c:v>
                </c:pt>
                <c:pt idx="116" formatCode="0.0">
                  <c:v>6.7904661948860099</c:v>
                </c:pt>
                <c:pt idx="117" formatCode="0.0">
                  <c:v>4.3172211859606815</c:v>
                </c:pt>
                <c:pt idx="118" formatCode="0.0">
                  <c:v>1.3572784495536201</c:v>
                </c:pt>
                <c:pt idx="119" formatCode="0.0">
                  <c:v>-1.7683885380383262</c:v>
                </c:pt>
                <c:pt idx="120" formatCode="0.0">
                  <c:v>-4.717241900824094</c:v>
                </c:pt>
                <c:pt idx="121" formatCode="0.0">
                  <c:v>-7.1619262198667837</c:v>
                </c:pt>
                <c:pt idx="122" formatCode="0.0">
                  <c:v>-8.8257396119242308</c:v>
                </c:pt>
                <c:pt idx="123" formatCode="0.0">
                  <c:v>-9.5130185569584036</c:v>
                </c:pt>
                <c:pt idx="124" formatCode="0.0">
                  <c:v>-9.1311292284375387</c:v>
                </c:pt>
                <c:pt idx="125" formatCode="0.0">
                  <c:v>-7.7016169166236796</c:v>
                </c:pt>
                <c:pt idx="126" formatCode="0.0">
                  <c:v>-5.3591925697428167</c:v>
                </c:pt>
                <c:pt idx="127" formatCode="0.0">
                  <c:v>-2.3385154504607026</c:v>
                </c:pt>
                <c:pt idx="128" formatCode="0.0">
                  <c:v>1.0499698527739296</c:v>
                </c:pt>
                <c:pt idx="129" formatCode="0.0">
                  <c:v>4.4527020412801619</c:v>
                </c:pt>
                <c:pt idx="130" formatCode="0.0">
                  <c:v>7.5107989751365647</c:v>
                </c:pt>
                <c:pt idx="131" formatCode="0.0">
                  <c:v>9.8990094129009893</c:v>
                </c:pt>
                <c:pt idx="132" formatCode="0.0">
                  <c:v>11.361668551804611</c:v>
                </c:pt>
                <c:pt idx="133" formatCode="0.0">
                  <c:v>11.741761559572925</c:v>
                </c:pt>
                <c:pt idx="134" formatCode="0.0">
                  <c:v>10.999871686027459</c:v>
                </c:pt>
                <c:pt idx="135" formatCode="0.0">
                  <c:v>9.2208134059792854</c:v>
                </c:pt>
                <c:pt idx="136" formatCode="0.0">
                  <c:v>6.6070240008595089</c:v>
                </c:pt>
                <c:pt idx="137" formatCode="0.0">
                  <c:v>3.4591790938195306</c:v>
                </c:pt>
                <c:pt idx="138" formatCode="0.0">
                  <c:v>0.14586452916438386</c:v>
                </c:pt>
                <c:pt idx="139" formatCode="0.0">
                  <c:v>-2.9346653919027013</c:v>
                </c:pt>
                <c:pt idx="140" formatCode="0.0">
                  <c:v>-5.3967136352671252</c:v>
                </c:pt>
                <c:pt idx="141" formatCode="0.0">
                  <c:v>-6.9089184715105709</c:v>
                </c:pt>
                <c:pt idx="142" formatCode="0.0">
                  <c:v>-7.2311079376468346</c:v>
                </c:pt>
                <c:pt idx="143" formatCode="0.0">
                  <c:v>-6.2421816841236719</c:v>
                </c:pt>
                <c:pt idx="144" formatCode="0.0">
                  <c:v>-3.9558336725980769</c:v>
                </c:pt>
                <c:pt idx="145" formatCode="0.0">
                  <c:v>-0.52214590426385854</c:v>
                </c:pt>
                <c:pt idx="146" formatCode="0.0">
                  <c:v>3.7854655710656822</c:v>
                </c:pt>
                <c:pt idx="147" formatCode="0.0">
                  <c:v>8.5969322796372776</c:v>
                </c:pt>
                <c:pt idx="148" formatCode="0.0">
                  <c:v>13.483354603217037</c:v>
                </c:pt>
                <c:pt idx="149" formatCode="0.0">
                  <c:v>18.002232478413696</c:v>
                </c:pt>
                <c:pt idx="150" formatCode="0.0">
                  <c:v>21.745493338234205</c:v>
                </c:pt>
                <c:pt idx="151" formatCode="0.0">
                  <c:v>24.385283885710102</c:v>
                </c:pt>
                <c:pt idx="152" formatCode="0.0">
                  <c:v>25.712586859555184</c:v>
                </c:pt>
                <c:pt idx="153" formatCode="0.0">
                  <c:v>25.664337497572923</c:v>
                </c:pt>
                <c:pt idx="154" formatCode="0.0">
                  <c:v>24.335796725015584</c:v>
                </c:pt>
                <c:pt idx="155" formatCode="0.0">
                  <c:v>21.976389569239451</c:v>
                </c:pt>
                <c:pt idx="156" formatCode="0.0">
                  <c:v>18.968897935676683</c:v>
                </c:pt>
                <c:pt idx="157" formatCode="0.0">
                  <c:v>15.793639647468156</c:v>
                </c:pt>
                <c:pt idx="158" formatCode="0.0">
                  <c:v>12.980892850635811</c:v>
                </c:pt>
                <c:pt idx="159" formatCode="0.0">
                  <c:v>11.05616592879608</c:v>
                </c:pt>
                <c:pt idx="160" formatCode="0.0">
                  <c:v>10.48382193507684</c:v>
                </c:pt>
                <c:pt idx="161" formatCode="0.0">
                  <c:v>11.614937148540152</c:v>
                </c:pt>
                <c:pt idx="162" formatCode="0.0">
                  <c:v>14.645051243941108</c:v>
                </c:pt>
                <c:pt idx="163" formatCode="0.0">
                  <c:v>19.586655686030181</c:v>
                </c:pt>
                <c:pt idx="164" formatCode="0.0">
                  <c:v>26.259930785783578</c:v>
                </c:pt>
                <c:pt idx="165" formatCode="0.0">
                  <c:v>34.303498529049875</c:v>
                </c:pt>
                <c:pt idx="166" formatCode="0.0">
                  <c:v>43.204970251122099</c:v>
                </c:pt>
                <c:pt idx="167" formatCode="0.0">
                  <c:v>52.349027205550023</c:v>
                </c:pt>
                <c:pt idx="168" formatCode="0.0">
                  <c:v>61.078880792018211</c:v>
                </c:pt>
                <c:pt idx="169" formatCode="0.0">
                  <c:v>68.765411620562958</c:v>
                </c:pt>
                <c:pt idx="170" formatCode="0.0">
                  <c:v>74.877248497206693</c:v>
                </c:pt>
                <c:pt idx="171" formatCode="0.0">
                  <c:v>79.044640401543759</c:v>
                </c:pt>
                <c:pt idx="172" formatCode="0.0">
                  <c:v>81.110258929404338</c:v>
                </c:pt>
                <c:pt idx="173" formatCode="0.0">
                  <c:v>81.161041956285317</c:v>
                </c:pt>
                <c:pt idx="174" formatCode="0.0">
                  <c:v>79.536780637178396</c:v>
                </c:pt>
                <c:pt idx="175" formatCode="0.0">
                  <c:v>76.813228343736483</c:v>
                </c:pt>
                <c:pt idx="176" formatCode="0.0">
                  <c:v>73.759887901424108</c:v>
                </c:pt>
                <c:pt idx="177" formatCode="0.0">
                  <c:v>71.275094201238304</c:v>
                </c:pt>
                <c:pt idx="178" formatCode="0.0">
                  <c:v>70.303320220080138</c:v>
                </c:pt>
                <c:pt idx="179" formatCode="0.0">
                  <c:v>71.741570527576499</c:v>
                </c:pt>
                <c:pt idx="180" formatCode="0.0">
                  <c:v>76.34309152064445</c:v>
                </c:pt>
                <c:pt idx="181" formatCode="0.0">
                  <c:v>84.627274468495415</c:v>
                </c:pt>
                <c:pt idx="182" formatCode="0.0">
                  <c:v>96.804472150661368</c:v>
                </c:pt>
                <c:pt idx="183" formatCode="0.0">
                  <c:v>112.72348159593362</c:v>
                </c:pt>
                <c:pt idx="184" formatCode="0.0">
                  <c:v>131.84772897554768</c:v>
                </c:pt>
                <c:pt idx="185" formatCode="0.0">
                  <c:v>153.26386405112319</c:v>
                </c:pt>
                <c:pt idx="186" formatCode="0.0">
                  <c:v>175.72372668102707</c:v>
                </c:pt>
                <c:pt idx="187" formatCode="0.0">
                  <c:v>197.71772564341711</c:v>
                </c:pt>
                <c:pt idx="188" formatCode="0.0">
                  <c:v>217.57483094766428</c:v>
                </c:pt>
                <c:pt idx="189" formatCode="0.0">
                  <c:v>233.58188331505809</c:v>
                </c:pt>
                <c:pt idx="190" formatCode="0.0">
                  <c:v>244.11300113457858</c:v>
                </c:pt>
                <c:pt idx="191" formatCode="0.0">
                  <c:v>247.75870076130929</c:v>
                </c:pt>
                <c:pt idx="192" formatCode="0.0">
                  <c:v>243.44405998751324</c:v>
                </c:pt>
                <c:pt idx="193" formatCode="0.0">
                  <c:v>230.52588914060368</c:v>
                </c:pt>
                <c:pt idx="194" formatCode="0.0">
                  <c:v>208.86038973677574</c:v>
                </c:pt>
                <c:pt idx="195" formatCode="0.0">
                  <c:v>178.8350576833347</c:v>
                </c:pt>
                <c:pt idx="196" formatCode="0.0">
                  <c:v>141.3614379059845</c:v>
                </c:pt>
                <c:pt idx="197" formatCode="0.0">
                  <c:v>97.828518090448824</c:v>
                </c:pt>
                <c:pt idx="198" formatCode="0.0">
                  <c:v>50.019787339397631</c:v>
                </c:pt>
                <c:pt idx="199" formatCode="0.0">
                  <c:v>1.5749541369059294E-11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7-2C4E-8CD7-0874162CCBB7}"/>
            </c:ext>
          </c:extLst>
        </c:ser>
        <c:ser>
          <c:idx val="1"/>
          <c:order val="1"/>
          <c:tx>
            <c:v>Serie de Fourier (10 términos)</c:v>
          </c:tx>
          <c:spPr>
            <a:ln w="9525" cap="rnd">
              <a:solidFill>
                <a:schemeClr val="accent3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Serie_Fourier_Said_Carbot!$A$2:$A$201</c:f>
              <c:numCache>
                <c:formatCode>0.0000</c:formatCode>
                <c:ptCount val="200"/>
                <c:pt idx="0" formatCode="0.0">
                  <c:v>-3.1415926535897931</c:v>
                </c:pt>
                <c:pt idx="1">
                  <c:v>-3.1100188580763279</c:v>
                </c:pt>
                <c:pt idx="2" formatCode="0.0">
                  <c:v>-3.0784450625628628</c:v>
                </c:pt>
                <c:pt idx="3" formatCode="0.0">
                  <c:v>-3.0468712670493976</c:v>
                </c:pt>
                <c:pt idx="4" formatCode="0.0">
                  <c:v>-3.0152974715359324</c:v>
                </c:pt>
                <c:pt idx="5" formatCode="0.0">
                  <c:v>-2.9837236760224672</c:v>
                </c:pt>
                <c:pt idx="6" formatCode="0.0">
                  <c:v>-2.9521498805090021</c:v>
                </c:pt>
                <c:pt idx="7" formatCode="0.0">
                  <c:v>-2.9205760849955369</c:v>
                </c:pt>
                <c:pt idx="8" formatCode="0.0">
                  <c:v>-2.8890022894820717</c:v>
                </c:pt>
                <c:pt idx="9" formatCode="0.0">
                  <c:v>-2.8574284939686065</c:v>
                </c:pt>
                <c:pt idx="10" formatCode="0.0">
                  <c:v>-2.8258546984551414</c:v>
                </c:pt>
                <c:pt idx="11" formatCode="0.0">
                  <c:v>-2.7942809029416762</c:v>
                </c:pt>
                <c:pt idx="12" formatCode="0.0">
                  <c:v>-2.762707107428211</c:v>
                </c:pt>
                <c:pt idx="13" formatCode="0.0">
                  <c:v>-2.7311333119147458</c:v>
                </c:pt>
                <c:pt idx="14" formatCode="0.0">
                  <c:v>-2.6995595164012807</c:v>
                </c:pt>
                <c:pt idx="15" formatCode="0.0">
                  <c:v>-2.6679857208878155</c:v>
                </c:pt>
                <c:pt idx="16" formatCode="0.0">
                  <c:v>-2.6364119253743503</c:v>
                </c:pt>
                <c:pt idx="17" formatCode="0.0">
                  <c:v>-2.6048381298608851</c:v>
                </c:pt>
                <c:pt idx="18" formatCode="0.0">
                  <c:v>-2.57326433434742</c:v>
                </c:pt>
                <c:pt idx="19" formatCode="0.0">
                  <c:v>-2.5416905388339548</c:v>
                </c:pt>
                <c:pt idx="20" formatCode="0.0">
                  <c:v>-2.5101167433204896</c:v>
                </c:pt>
                <c:pt idx="21" formatCode="0.0">
                  <c:v>-2.4785429478070244</c:v>
                </c:pt>
                <c:pt idx="22" formatCode="0.0">
                  <c:v>-2.4469691522935593</c:v>
                </c:pt>
                <c:pt idx="23" formatCode="0.0">
                  <c:v>-2.4153953567800941</c:v>
                </c:pt>
                <c:pt idx="24" formatCode="0.0">
                  <c:v>-2.3838215612666289</c:v>
                </c:pt>
                <c:pt idx="25" formatCode="0.0">
                  <c:v>-2.3522477657531637</c:v>
                </c:pt>
                <c:pt idx="26" formatCode="0.0">
                  <c:v>-2.3206739702396986</c:v>
                </c:pt>
                <c:pt idx="27" formatCode="0.0">
                  <c:v>-2.2891001747262334</c:v>
                </c:pt>
                <c:pt idx="28" formatCode="0.0">
                  <c:v>-2.2575263792127682</c:v>
                </c:pt>
                <c:pt idx="29" formatCode="0.0">
                  <c:v>-2.225952583699303</c:v>
                </c:pt>
                <c:pt idx="30" formatCode="0.0">
                  <c:v>-2.1943787881858379</c:v>
                </c:pt>
                <c:pt idx="31" formatCode="0.0">
                  <c:v>-2.1628049926723727</c:v>
                </c:pt>
                <c:pt idx="32" formatCode="0.0">
                  <c:v>-2.1312311971589075</c:v>
                </c:pt>
                <c:pt idx="33" formatCode="0.0">
                  <c:v>-2.0996574016454423</c:v>
                </c:pt>
                <c:pt idx="34" formatCode="0.0">
                  <c:v>-2.0680836061319772</c:v>
                </c:pt>
                <c:pt idx="35" formatCode="0.0">
                  <c:v>-2.036509810618512</c:v>
                </c:pt>
                <c:pt idx="36" formatCode="0.0">
                  <c:v>-2.0049360151050468</c:v>
                </c:pt>
                <c:pt idx="37" formatCode="0.0">
                  <c:v>-1.9733622195915816</c:v>
                </c:pt>
                <c:pt idx="38" formatCode="0.0">
                  <c:v>-1.9417884240781165</c:v>
                </c:pt>
                <c:pt idx="39" formatCode="0.0">
                  <c:v>-1.9102146285646513</c:v>
                </c:pt>
                <c:pt idx="40" formatCode="0.0">
                  <c:v>-1.8786408330511861</c:v>
                </c:pt>
                <c:pt idx="41" formatCode="0.0">
                  <c:v>-1.8470670375377209</c:v>
                </c:pt>
                <c:pt idx="42" formatCode="0.0">
                  <c:v>-1.8154932420242558</c:v>
                </c:pt>
                <c:pt idx="43" formatCode="0.0">
                  <c:v>-1.7839194465107906</c:v>
                </c:pt>
                <c:pt idx="44" formatCode="0.0">
                  <c:v>-1.7523456509973254</c:v>
                </c:pt>
                <c:pt idx="45" formatCode="0.0">
                  <c:v>-1.7207718554838602</c:v>
                </c:pt>
                <c:pt idx="46" formatCode="0.0">
                  <c:v>-1.6891980599703951</c:v>
                </c:pt>
                <c:pt idx="47" formatCode="0.0">
                  <c:v>-1.6576242644569299</c:v>
                </c:pt>
                <c:pt idx="48" formatCode="0.0">
                  <c:v>-1.6260504689434647</c:v>
                </c:pt>
                <c:pt idx="49" formatCode="0.0">
                  <c:v>-1.5944766734299995</c:v>
                </c:pt>
                <c:pt idx="50" formatCode="0.0">
                  <c:v>-1.5629028779165344</c:v>
                </c:pt>
                <c:pt idx="51" formatCode="0.0">
                  <c:v>-1.5313290824030692</c:v>
                </c:pt>
                <c:pt idx="52" formatCode="0.0">
                  <c:v>-1.499755286889604</c:v>
                </c:pt>
                <c:pt idx="53" formatCode="0.0">
                  <c:v>-1.4681814913761388</c:v>
                </c:pt>
                <c:pt idx="54" formatCode="0.0">
                  <c:v>-1.4366076958626737</c:v>
                </c:pt>
                <c:pt idx="55" formatCode="0.0">
                  <c:v>-1.4050339003492085</c:v>
                </c:pt>
                <c:pt idx="56" formatCode="0.0">
                  <c:v>-1.3734601048357433</c:v>
                </c:pt>
                <c:pt idx="57" formatCode="0.0">
                  <c:v>-1.3418863093222781</c:v>
                </c:pt>
                <c:pt idx="58" formatCode="0.0">
                  <c:v>-1.310312513808813</c:v>
                </c:pt>
                <c:pt idx="59" formatCode="0.0">
                  <c:v>-1.2787387182953478</c:v>
                </c:pt>
                <c:pt idx="60" formatCode="0.0">
                  <c:v>-1.2471649227818826</c:v>
                </c:pt>
                <c:pt idx="61" formatCode="0.0">
                  <c:v>-1.2155911272684174</c:v>
                </c:pt>
                <c:pt idx="62" formatCode="0.0">
                  <c:v>-1.1840173317549523</c:v>
                </c:pt>
                <c:pt idx="63" formatCode="0.0">
                  <c:v>-1.1524435362414871</c:v>
                </c:pt>
                <c:pt idx="64" formatCode="0.0">
                  <c:v>-1.1208697407280219</c:v>
                </c:pt>
                <c:pt idx="65" formatCode="0.0">
                  <c:v>-1.0892959452145567</c:v>
                </c:pt>
                <c:pt idx="66" formatCode="0.0">
                  <c:v>-1.0577221497010916</c:v>
                </c:pt>
                <c:pt idx="67" formatCode="0.0">
                  <c:v>-1.0261483541876264</c:v>
                </c:pt>
                <c:pt idx="68" formatCode="0.0">
                  <c:v>-0.99457455867416111</c:v>
                </c:pt>
                <c:pt idx="69" formatCode="0.0">
                  <c:v>-0.96300076316069583</c:v>
                </c:pt>
                <c:pt idx="70" formatCode="0.0">
                  <c:v>-0.93142696764723054</c:v>
                </c:pt>
                <c:pt idx="71" formatCode="0.0">
                  <c:v>-0.89985317213376526</c:v>
                </c:pt>
                <c:pt idx="72" formatCode="0.0">
                  <c:v>-0.86827937662029997</c:v>
                </c:pt>
                <c:pt idx="73" formatCode="0.0">
                  <c:v>-0.83670558110683468</c:v>
                </c:pt>
                <c:pt idx="74" formatCode="0.0">
                  <c:v>-0.8051317855933694</c:v>
                </c:pt>
                <c:pt idx="75" formatCode="0.0">
                  <c:v>-0.77355799007990411</c:v>
                </c:pt>
                <c:pt idx="76" formatCode="0.0">
                  <c:v>-0.74198419456643883</c:v>
                </c:pt>
                <c:pt idx="77" formatCode="0.0">
                  <c:v>-0.71041039905297354</c:v>
                </c:pt>
                <c:pt idx="78" formatCode="0.0">
                  <c:v>-0.67883660353950825</c:v>
                </c:pt>
                <c:pt idx="79" formatCode="0.0">
                  <c:v>-0.64726280802604297</c:v>
                </c:pt>
                <c:pt idx="80" formatCode="0.0">
                  <c:v>-0.61568901251257768</c:v>
                </c:pt>
                <c:pt idx="81" formatCode="0.0">
                  <c:v>-0.5841152169991124</c:v>
                </c:pt>
                <c:pt idx="82" formatCode="0.0">
                  <c:v>-0.55254142148564711</c:v>
                </c:pt>
                <c:pt idx="83" formatCode="0.0">
                  <c:v>-0.52096762597218182</c:v>
                </c:pt>
                <c:pt idx="84" formatCode="0.0">
                  <c:v>-0.48939383045871654</c:v>
                </c:pt>
                <c:pt idx="85" formatCode="0.0">
                  <c:v>-0.45782003494525125</c:v>
                </c:pt>
                <c:pt idx="86" formatCode="0.0">
                  <c:v>-0.42624623943178597</c:v>
                </c:pt>
                <c:pt idx="87" formatCode="0.0">
                  <c:v>-0.39467244391832068</c:v>
                </c:pt>
                <c:pt idx="88" formatCode="0.0">
                  <c:v>-0.3630986484048554</c:v>
                </c:pt>
                <c:pt idx="89" formatCode="0.0">
                  <c:v>-0.33152485289139011</c:v>
                </c:pt>
                <c:pt idx="90" formatCode="0.0">
                  <c:v>-0.29995105737792482</c:v>
                </c:pt>
                <c:pt idx="91" formatCode="0.0">
                  <c:v>-0.26837726186445954</c:v>
                </c:pt>
                <c:pt idx="92" formatCode="0.0">
                  <c:v>-0.23680346635099428</c:v>
                </c:pt>
                <c:pt idx="93" formatCode="0.0">
                  <c:v>-0.20522967083752902</c:v>
                </c:pt>
                <c:pt idx="94" formatCode="0.0">
                  <c:v>-0.17365587532406376</c:v>
                </c:pt>
                <c:pt idx="95" formatCode="0.0">
                  <c:v>-0.1420820798105985</c:v>
                </c:pt>
                <c:pt idx="96" formatCode="0.0">
                  <c:v>-0.11050828429713325</c:v>
                </c:pt>
                <c:pt idx="97" formatCode="0.0">
                  <c:v>-7.8934488783667989E-2</c:v>
                </c:pt>
                <c:pt idx="98" formatCode="0.0">
                  <c:v>-4.7360693270202731E-2</c:v>
                </c:pt>
                <c:pt idx="99" formatCode="0.0">
                  <c:v>-1.5786897756737472E-2</c:v>
                </c:pt>
                <c:pt idx="100" formatCode="0.0">
                  <c:v>1.5786897756727786E-2</c:v>
                </c:pt>
                <c:pt idx="101" formatCode="0.0">
                  <c:v>4.7360693270193044E-2</c:v>
                </c:pt>
                <c:pt idx="102" formatCode="0.0">
                  <c:v>7.8934488783658302E-2</c:v>
                </c:pt>
                <c:pt idx="103" formatCode="0.0">
                  <c:v>0.11050828429712356</c:v>
                </c:pt>
                <c:pt idx="104" formatCode="0.0">
                  <c:v>0.14208207981058882</c:v>
                </c:pt>
                <c:pt idx="105" formatCode="0.0">
                  <c:v>0.17365587532405408</c:v>
                </c:pt>
                <c:pt idx="106" formatCode="0.0">
                  <c:v>0.20522967083751933</c:v>
                </c:pt>
                <c:pt idx="107" formatCode="0.0">
                  <c:v>0.23680346635098459</c:v>
                </c:pt>
                <c:pt idx="108" formatCode="0.0">
                  <c:v>0.26837726186444988</c:v>
                </c:pt>
                <c:pt idx="109" formatCode="0.0">
                  <c:v>0.29995105737791516</c:v>
                </c:pt>
                <c:pt idx="110" formatCode="0.0">
                  <c:v>0.33152485289138045</c:v>
                </c:pt>
                <c:pt idx="111" formatCode="0.0">
                  <c:v>0.36309864840484574</c:v>
                </c:pt>
                <c:pt idx="112" formatCode="0.0">
                  <c:v>0.39467244391831102</c:v>
                </c:pt>
                <c:pt idx="113" formatCode="0.0">
                  <c:v>0.42624623943177631</c:v>
                </c:pt>
                <c:pt idx="114" formatCode="0.0">
                  <c:v>0.45782003494524159</c:v>
                </c:pt>
                <c:pt idx="115" formatCode="0.0">
                  <c:v>0.48939383045870688</c:v>
                </c:pt>
                <c:pt idx="116" formatCode="0.0">
                  <c:v>0.52096762597217217</c:v>
                </c:pt>
                <c:pt idx="117" formatCode="0.0">
                  <c:v>0.55254142148563745</c:v>
                </c:pt>
                <c:pt idx="118" formatCode="0.0">
                  <c:v>0.58411521699910274</c:v>
                </c:pt>
                <c:pt idx="119" formatCode="0.0">
                  <c:v>0.61568901251256802</c:v>
                </c:pt>
                <c:pt idx="120" formatCode="0.0">
                  <c:v>0.64726280802603331</c:v>
                </c:pt>
                <c:pt idx="121" formatCode="0.0">
                  <c:v>0.6788366035394986</c:v>
                </c:pt>
                <c:pt idx="122" formatCode="0.0">
                  <c:v>0.71041039905296388</c:v>
                </c:pt>
                <c:pt idx="123" formatCode="0.0">
                  <c:v>0.74198419456642917</c:v>
                </c:pt>
                <c:pt idx="124" formatCode="0.0">
                  <c:v>0.77355799007989445</c:v>
                </c:pt>
                <c:pt idx="125" formatCode="0.0">
                  <c:v>0.80513178559335974</c:v>
                </c:pt>
                <c:pt idx="126" formatCode="0.0">
                  <c:v>0.83670558110682502</c:v>
                </c:pt>
                <c:pt idx="127" formatCode="0.0">
                  <c:v>0.86827937662029031</c:v>
                </c:pt>
                <c:pt idx="128" formatCode="0.0">
                  <c:v>0.8998531721337556</c:v>
                </c:pt>
                <c:pt idx="129" formatCode="0.0">
                  <c:v>0.93142696764722088</c:v>
                </c:pt>
                <c:pt idx="130" formatCode="0.0">
                  <c:v>0.96300076316068617</c:v>
                </c:pt>
                <c:pt idx="131" formatCode="0.0">
                  <c:v>0.99457455867415145</c:v>
                </c:pt>
                <c:pt idx="132" formatCode="0.0">
                  <c:v>1.0261483541876166</c:v>
                </c:pt>
                <c:pt idx="133" formatCode="0.0">
                  <c:v>1.0577221497010818</c:v>
                </c:pt>
                <c:pt idx="134" formatCode="0.0">
                  <c:v>1.089295945214547</c:v>
                </c:pt>
                <c:pt idx="135" formatCode="0.0">
                  <c:v>1.1208697407280122</c:v>
                </c:pt>
                <c:pt idx="136" formatCode="0.0">
                  <c:v>1.1524435362414773</c:v>
                </c:pt>
                <c:pt idx="137" formatCode="0.0">
                  <c:v>1.1840173317549425</c:v>
                </c:pt>
                <c:pt idx="138" formatCode="0.0">
                  <c:v>1.2155911272684077</c:v>
                </c:pt>
                <c:pt idx="139" formatCode="0.0">
                  <c:v>1.2471649227818729</c:v>
                </c:pt>
                <c:pt idx="140" formatCode="0.0">
                  <c:v>1.278738718295338</c:v>
                </c:pt>
                <c:pt idx="141" formatCode="0.0">
                  <c:v>1.3103125138088032</c:v>
                </c:pt>
                <c:pt idx="142" formatCode="0.0">
                  <c:v>1.3418863093222684</c:v>
                </c:pt>
                <c:pt idx="143" formatCode="0.0">
                  <c:v>1.3734601048357336</c:v>
                </c:pt>
                <c:pt idx="144" formatCode="0.0">
                  <c:v>1.4050339003491987</c:v>
                </c:pt>
                <c:pt idx="145" formatCode="0.0">
                  <c:v>1.4366076958626639</c:v>
                </c:pt>
                <c:pt idx="146" formatCode="0.0">
                  <c:v>1.4681814913761291</c:v>
                </c:pt>
                <c:pt idx="147" formatCode="0.0">
                  <c:v>1.4997552868895943</c:v>
                </c:pt>
                <c:pt idx="148" formatCode="0.0">
                  <c:v>1.5313290824030594</c:v>
                </c:pt>
                <c:pt idx="149" formatCode="0.0">
                  <c:v>1.5629028779165246</c:v>
                </c:pt>
                <c:pt idx="150" formatCode="0.0">
                  <c:v>1.5944766734299898</c:v>
                </c:pt>
                <c:pt idx="151" formatCode="0.0">
                  <c:v>1.626050468943455</c:v>
                </c:pt>
                <c:pt idx="152" formatCode="0.0">
                  <c:v>1.6576242644569201</c:v>
                </c:pt>
                <c:pt idx="153" formatCode="0.0">
                  <c:v>1.6891980599703853</c:v>
                </c:pt>
                <c:pt idx="154" formatCode="0.0">
                  <c:v>1.7207718554838505</c:v>
                </c:pt>
                <c:pt idx="155" formatCode="0.0">
                  <c:v>1.7523456509973157</c:v>
                </c:pt>
                <c:pt idx="156" formatCode="0.0">
                  <c:v>1.7839194465107808</c:v>
                </c:pt>
                <c:pt idx="157" formatCode="0.0">
                  <c:v>1.815493242024246</c:v>
                </c:pt>
                <c:pt idx="158" formatCode="0.0">
                  <c:v>1.8470670375377112</c:v>
                </c:pt>
                <c:pt idx="159" formatCode="0.0">
                  <c:v>1.8786408330511764</c:v>
                </c:pt>
                <c:pt idx="160" formatCode="0.0">
                  <c:v>1.9102146285646415</c:v>
                </c:pt>
                <c:pt idx="161" formatCode="0.0">
                  <c:v>1.9417884240781067</c:v>
                </c:pt>
                <c:pt idx="162" formatCode="0.0">
                  <c:v>1.9733622195915719</c:v>
                </c:pt>
                <c:pt idx="163" formatCode="0.0">
                  <c:v>2.0049360151050371</c:v>
                </c:pt>
                <c:pt idx="164" formatCode="0.0">
                  <c:v>2.0365098106185022</c:v>
                </c:pt>
                <c:pt idx="165" formatCode="0.0">
                  <c:v>2.0680836061319674</c:v>
                </c:pt>
                <c:pt idx="166" formatCode="0.0">
                  <c:v>2.0996574016454326</c:v>
                </c:pt>
                <c:pt idx="167" formatCode="0.0">
                  <c:v>2.1312311971588977</c:v>
                </c:pt>
                <c:pt idx="168" formatCode="0.0">
                  <c:v>2.1628049926723629</c:v>
                </c:pt>
                <c:pt idx="169" formatCode="0.0">
                  <c:v>2.1943787881858281</c:v>
                </c:pt>
                <c:pt idx="170" formatCode="0.0">
                  <c:v>2.2259525836992933</c:v>
                </c:pt>
                <c:pt idx="171" formatCode="0.0">
                  <c:v>2.2575263792127584</c:v>
                </c:pt>
                <c:pt idx="172" formatCode="0.0">
                  <c:v>2.2891001747262236</c:v>
                </c:pt>
                <c:pt idx="173" formatCode="0.0">
                  <c:v>2.3206739702396888</c:v>
                </c:pt>
                <c:pt idx="174" formatCode="0.0">
                  <c:v>2.352247765753154</c:v>
                </c:pt>
                <c:pt idx="175" formatCode="0.0">
                  <c:v>2.3838215612666191</c:v>
                </c:pt>
                <c:pt idx="176" formatCode="0.0">
                  <c:v>2.4153953567800843</c:v>
                </c:pt>
                <c:pt idx="177" formatCode="0.0">
                  <c:v>2.4469691522935495</c:v>
                </c:pt>
                <c:pt idx="178" formatCode="0.0">
                  <c:v>2.4785429478070147</c:v>
                </c:pt>
                <c:pt idx="179" formatCode="0.0">
                  <c:v>2.5101167433204798</c:v>
                </c:pt>
                <c:pt idx="180" formatCode="0.0">
                  <c:v>2.541690538833945</c:v>
                </c:pt>
                <c:pt idx="181" formatCode="0.0">
                  <c:v>2.5732643343474102</c:v>
                </c:pt>
                <c:pt idx="182" formatCode="0.0">
                  <c:v>2.6048381298608754</c:v>
                </c:pt>
                <c:pt idx="183" formatCode="0.0">
                  <c:v>2.6364119253743405</c:v>
                </c:pt>
                <c:pt idx="184" formatCode="0.0">
                  <c:v>2.6679857208878057</c:v>
                </c:pt>
                <c:pt idx="185" formatCode="0.0">
                  <c:v>2.6995595164012709</c:v>
                </c:pt>
                <c:pt idx="186" formatCode="0.0">
                  <c:v>2.7311333119147361</c:v>
                </c:pt>
                <c:pt idx="187" formatCode="0.0">
                  <c:v>2.7627071074282012</c:v>
                </c:pt>
                <c:pt idx="188" formatCode="0.0">
                  <c:v>2.7942809029416664</c:v>
                </c:pt>
                <c:pt idx="189" formatCode="0.0">
                  <c:v>2.8258546984551316</c:v>
                </c:pt>
                <c:pt idx="190" formatCode="0.0">
                  <c:v>2.8574284939685968</c:v>
                </c:pt>
                <c:pt idx="191" formatCode="0.0">
                  <c:v>2.8890022894820619</c:v>
                </c:pt>
                <c:pt idx="192" formatCode="0.0">
                  <c:v>2.9205760849955271</c:v>
                </c:pt>
                <c:pt idx="193" formatCode="0.0">
                  <c:v>2.9521498805089923</c:v>
                </c:pt>
                <c:pt idx="194" formatCode="0.0">
                  <c:v>2.9837236760224575</c:v>
                </c:pt>
                <c:pt idx="195" formatCode="0.0">
                  <c:v>3.0152974715359226</c:v>
                </c:pt>
                <c:pt idx="196" formatCode="0.0">
                  <c:v>3.0468712670493878</c:v>
                </c:pt>
                <c:pt idx="197" formatCode="0.0">
                  <c:v>3.078445062562853</c:v>
                </c:pt>
                <c:pt idx="198" formatCode="0.0">
                  <c:v>3.1100188580763182</c:v>
                </c:pt>
                <c:pt idx="199" formatCode="0.0">
                  <c:v>3.1415926535897833</c:v>
                </c:pt>
              </c:numCache>
            </c:numRef>
          </c:xVal>
          <c:yVal>
            <c:numRef>
              <c:f>Serie_Fourier_Said_Carbot!$C$2:$C$201</c:f>
              <c:numCache>
                <c:formatCode>0.0000</c:formatCode>
                <c:ptCount val="200"/>
                <c:pt idx="0" formatCode="0.0">
                  <c:v>-1.954593634191964E-13</c:v>
                </c:pt>
                <c:pt idx="1">
                  <c:v>-50.019787339382404</c:v>
                </c:pt>
                <c:pt idx="2" formatCode="0.0">
                  <c:v>-97.828518090434628</c:v>
                </c:pt>
                <c:pt idx="3" formatCode="0.0">
                  <c:v>-141.36143790597185</c:v>
                </c:pt>
                <c:pt idx="4" formatCode="0.0">
                  <c:v>-178.83505768332418</c:v>
                </c:pt>
                <c:pt idx="5" formatCode="0.0">
                  <c:v>-208.86038973676779</c:v>
                </c:pt>
                <c:pt idx="6" formatCode="0.0">
                  <c:v>-230.52588914059828</c:v>
                </c:pt>
                <c:pt idx="7" formatCode="0.0">
                  <c:v>-243.44405998751051</c:v>
                </c:pt>
                <c:pt idx="8" formatCode="0.0">
                  <c:v>-247.75870076130934</c:v>
                </c:pt>
                <c:pt idx="9" formatCode="0.0">
                  <c:v>-244.11300113458086</c:v>
                </c:pt>
                <c:pt idx="10" formatCode="0.0">
                  <c:v>-233.58188331506236</c:v>
                </c:pt>
                <c:pt idx="11" formatCode="0.0">
                  <c:v>-217.57483094766988</c:v>
                </c:pt>
                <c:pt idx="12" formatCode="0.0">
                  <c:v>-197.71772564342368</c:v>
                </c:pt>
                <c:pt idx="13" formatCode="0.0">
                  <c:v>-175.72372668103407</c:v>
                </c:pt>
                <c:pt idx="14" formatCode="0.0">
                  <c:v>-153.26386405113013</c:v>
                </c:pt>
                <c:pt idx="15" formatCode="0.0">
                  <c:v>-131.84772897555402</c:v>
                </c:pt>
                <c:pt idx="16" formatCode="0.0">
                  <c:v>-112.72348159593908</c:v>
                </c:pt>
                <c:pt idx="17" formatCode="0.0">
                  <c:v>-96.804472150665717</c:v>
                </c:pt>
                <c:pt idx="18" formatCode="0.0">
                  <c:v>-84.627274468498541</c:v>
                </c:pt>
                <c:pt idx="19" formatCode="0.0">
                  <c:v>-76.343091520646482</c:v>
                </c:pt>
                <c:pt idx="20" formatCode="0.0">
                  <c:v>-71.741570527577466</c:v>
                </c:pt>
                <c:pt idx="21" formatCode="0.0">
                  <c:v>-70.303320220080138</c:v>
                </c:pt>
                <c:pt idx="22" formatCode="0.0">
                  <c:v>-71.275094201237721</c:v>
                </c:pt>
                <c:pt idx="23" formatCode="0.0">
                  <c:v>-73.759887901423227</c:v>
                </c:pt>
                <c:pt idx="24" formatCode="0.0">
                  <c:v>-76.813228343735531</c:v>
                </c:pt>
                <c:pt idx="25" formatCode="0.0">
                  <c:v>-79.536780637177685</c:v>
                </c:pt>
                <c:pt idx="26" formatCode="0.0">
                  <c:v>-81.161041956285118</c:v>
                </c:pt>
                <c:pt idx="27" formatCode="0.0">
                  <c:v>-81.110258929404665</c:v>
                </c:pt>
                <c:pt idx="28" formatCode="0.0">
                  <c:v>-79.044640401544655</c:v>
                </c:pt>
                <c:pt idx="29" formatCode="0.0">
                  <c:v>-74.877248497208384</c:v>
                </c:pt>
                <c:pt idx="30" formatCode="0.0">
                  <c:v>-68.765411620565004</c:v>
                </c:pt>
                <c:pt idx="31" formatCode="0.0">
                  <c:v>-61.078880792020747</c:v>
                </c:pt>
                <c:pt idx="32" formatCode="0.0">
                  <c:v>-52.349027205552851</c:v>
                </c:pt>
                <c:pt idx="33" formatCode="0.0">
                  <c:v>-43.204970251124877</c:v>
                </c:pt>
                <c:pt idx="34" formatCode="0.0">
                  <c:v>-34.30349852905254</c:v>
                </c:pt>
                <c:pt idx="35" formatCode="0.0">
                  <c:v>-26.259930785785915</c:v>
                </c:pt>
                <c:pt idx="36" formatCode="0.0">
                  <c:v>-19.586655686031996</c:v>
                </c:pt>
                <c:pt idx="37" formatCode="0.0">
                  <c:v>-14.645051243942296</c:v>
                </c:pt>
                <c:pt idx="38" formatCode="0.0">
                  <c:v>-11.614937148540854</c:v>
                </c:pt>
                <c:pt idx="39" formatCode="0.0">
                  <c:v>-10.48382193507701</c:v>
                </c:pt>
                <c:pt idx="40" formatCode="0.0">
                  <c:v>-11.056165928795574</c:v>
                </c:pt>
                <c:pt idx="41" formatCode="0.0">
                  <c:v>-12.980892850634991</c:v>
                </c:pt>
                <c:pt idx="42" formatCode="0.0">
                  <c:v>-15.793639647467097</c:v>
                </c:pt>
                <c:pt idx="43" formatCode="0.0">
                  <c:v>-18.968897935675816</c:v>
                </c:pt>
                <c:pt idx="44" formatCode="0.0">
                  <c:v>-21.97638956923867</c:v>
                </c:pt>
                <c:pt idx="45" formatCode="0.0">
                  <c:v>-24.335796725014884</c:v>
                </c:pt>
                <c:pt idx="46" formatCode="0.0">
                  <c:v>-25.664337497572745</c:v>
                </c:pt>
                <c:pt idx="47" formatCode="0.0">
                  <c:v>-25.712586859555458</c:v>
                </c:pt>
                <c:pt idx="48" formatCode="0.0">
                  <c:v>-24.38528388571072</c:v>
                </c:pt>
                <c:pt idx="49" formatCode="0.0">
                  <c:v>-21.745493338235175</c:v>
                </c:pt>
                <c:pt idx="50" formatCode="0.0">
                  <c:v>-18.002232478414992</c:v>
                </c:pt>
                <c:pt idx="51" formatCode="0.0">
                  <c:v>-13.483354603218515</c:v>
                </c:pt>
                <c:pt idx="52" formatCode="0.0">
                  <c:v>-8.5969322796387839</c:v>
                </c:pt>
                <c:pt idx="53" formatCode="0.0">
                  <c:v>-3.7854655710671459</c:v>
                </c:pt>
                <c:pt idx="54" formatCode="0.0">
                  <c:v>0.52214590426268614</c:v>
                </c:pt>
                <c:pt idx="55" formatCode="0.0">
                  <c:v>3.9558336725972492</c:v>
                </c:pt>
                <c:pt idx="56" formatCode="0.0">
                  <c:v>6.2421816841231177</c:v>
                </c:pt>
                <c:pt idx="57" formatCode="0.0">
                  <c:v>7.2311079376466836</c:v>
                </c:pt>
                <c:pt idx="58" formatCode="0.0">
                  <c:v>6.9089184715108285</c:v>
                </c:pt>
                <c:pt idx="59" formatCode="0.0">
                  <c:v>5.3967136352678038</c:v>
                </c:pt>
                <c:pt idx="60" formatCode="0.0">
                  <c:v>2.9346653919036028</c:v>
                </c:pt>
                <c:pt idx="61" formatCode="0.0">
                  <c:v>-0.14586452916339621</c:v>
                </c:pt>
                <c:pt idx="62" formatCode="0.0">
                  <c:v>-3.4591790938185198</c:v>
                </c:pt>
                <c:pt idx="63" formatCode="0.0">
                  <c:v>-6.6070240008586083</c:v>
                </c:pt>
                <c:pt idx="64" formatCode="0.0">
                  <c:v>-9.2208134059785856</c:v>
                </c:pt>
                <c:pt idx="65" formatCode="0.0">
                  <c:v>-10.99987168602706</c:v>
                </c:pt>
                <c:pt idx="66" formatCode="0.0">
                  <c:v>-11.741761559572831</c:v>
                </c:pt>
                <c:pt idx="67" formatCode="0.0">
                  <c:v>-11.361668551804893</c:v>
                </c:pt>
                <c:pt idx="68" formatCode="0.0">
                  <c:v>-9.8990094129016235</c:v>
                </c:pt>
                <c:pt idx="69" formatCode="0.0">
                  <c:v>-7.5107989751373534</c:v>
                </c:pt>
                <c:pt idx="70" formatCode="0.0">
                  <c:v>-4.4527020412811318</c:v>
                </c:pt>
                <c:pt idx="71" formatCode="0.0">
                  <c:v>-1.049969852774983</c:v>
                </c:pt>
                <c:pt idx="72" formatCode="0.0">
                  <c:v>2.3385154504597079</c:v>
                </c:pt>
                <c:pt idx="73" formatCode="0.0">
                  <c:v>5.3591925697419782</c:v>
                </c:pt>
                <c:pt idx="74" formatCode="0.0">
                  <c:v>7.7016169166231023</c:v>
                </c:pt>
                <c:pt idx="75" formatCode="0.0">
                  <c:v>9.1311292284372492</c:v>
                </c:pt>
                <c:pt idx="76" formatCode="0.0">
                  <c:v>9.5130185569584569</c:v>
                </c:pt>
                <c:pt idx="77" formatCode="0.0">
                  <c:v>8.8257396119245808</c:v>
                </c:pt>
                <c:pt idx="78" formatCode="0.0">
                  <c:v>7.1619262198673965</c:v>
                </c:pt>
                <c:pt idx="79" formatCode="0.0">
                  <c:v>4.7172419008249378</c:v>
                </c:pt>
                <c:pt idx="80" formatCode="0.0">
                  <c:v>1.7683885380393072</c:v>
                </c:pt>
                <c:pt idx="81" formatCode="0.0">
                  <c:v>-1.357278449552684</c:v>
                </c:pt>
                <c:pt idx="82" formatCode="0.0">
                  <c:v>-4.3172211859598395</c:v>
                </c:pt>
                <c:pt idx="83" formatCode="0.0">
                  <c:v>-6.7904661948853615</c:v>
                </c:pt>
                <c:pt idx="84" formatCode="0.0">
                  <c:v>-8.5117181629097729</c:v>
                </c:pt>
                <c:pt idx="85" formatCode="0.0">
                  <c:v>-9.2992448244949237</c:v>
                </c:pt>
                <c:pt idx="86" formatCode="0.0">
                  <c:v>-9.0736255148304839</c:v>
                </c:pt>
                <c:pt idx="87" formatCode="0.0">
                  <c:v>-7.8654444644003938</c:v>
                </c:pt>
                <c:pt idx="88" formatCode="0.0">
                  <c:v>-5.8111928593692861</c:v>
                </c:pt>
                <c:pt idx="89" formatCode="0.0">
                  <c:v>-3.1378957588290186</c:v>
                </c:pt>
                <c:pt idx="90" formatCode="0.0">
                  <c:v>-0.13816945323545227</c:v>
                </c:pt>
                <c:pt idx="91" formatCode="0.0">
                  <c:v>2.861582579592973</c:v>
                </c:pt>
                <c:pt idx="92" formatCode="0.0">
                  <c:v>5.5364154289671621</c:v>
                </c:pt>
                <c:pt idx="93" formatCode="0.0">
                  <c:v>7.5977631823087659</c:v>
                </c:pt>
                <c:pt idx="94" formatCode="0.0">
                  <c:v>8.8243185841736498</c:v>
                </c:pt>
                <c:pt idx="95" formatCode="0.0">
                  <c:v>9.085599852033873</c:v>
                </c:pt>
                <c:pt idx="96" formatCode="0.0">
                  <c:v>8.3557196509599301</c:v>
                </c:pt>
                <c:pt idx="97" formatCode="0.0">
                  <c:v>6.7159181028602459</c:v>
                </c:pt>
                <c:pt idx="98" formatCode="0.0">
                  <c:v>4.3456175415960416</c:v>
                </c:pt>
                <c:pt idx="99" formatCode="0.0">
                  <c:v>1.5029753757485318</c:v>
                </c:pt>
                <c:pt idx="100" formatCode="0.0">
                  <c:v>-1.5029753757476176</c:v>
                </c:pt>
                <c:pt idx="101" formatCode="0.0">
                  <c:v>-4.3456175415952281</c:v>
                </c:pt>
                <c:pt idx="102" formatCode="0.0">
                  <c:v>-6.7159181028596127</c:v>
                </c:pt>
                <c:pt idx="103" formatCode="0.0">
                  <c:v>-8.3557196509595606</c:v>
                </c:pt>
                <c:pt idx="104" formatCode="0.0">
                  <c:v>-9.0855998520338019</c:v>
                </c:pt>
                <c:pt idx="105" formatCode="0.0">
                  <c:v>-8.8243185841738843</c:v>
                </c:pt>
                <c:pt idx="106" formatCode="0.0">
                  <c:v>-7.597763182309281</c:v>
                </c:pt>
                <c:pt idx="107" formatCode="0.0">
                  <c:v>-5.536415428967894</c:v>
                </c:pt>
                <c:pt idx="108" formatCode="0.0">
                  <c:v>-2.8615825795938701</c:v>
                </c:pt>
                <c:pt idx="109" formatCode="0.0">
                  <c:v>0.13816945323451035</c:v>
                </c:pt>
                <c:pt idx="110" formatCode="0.0">
                  <c:v>3.1378957588281238</c:v>
                </c:pt>
                <c:pt idx="111" formatCode="0.0">
                  <c:v>5.8111928593685551</c:v>
                </c:pt>
                <c:pt idx="112" formatCode="0.0">
                  <c:v>7.8654444643998964</c:v>
                </c:pt>
                <c:pt idx="113" formatCode="0.0">
                  <c:v>9.073625514830244</c:v>
                </c:pt>
                <c:pt idx="114" formatCode="0.0">
                  <c:v>9.299244824495009</c:v>
                </c:pt>
                <c:pt idx="115" formatCode="0.0">
                  <c:v>8.5117181629101637</c:v>
                </c:pt>
                <c:pt idx="116" formatCode="0.0">
                  <c:v>6.7904661948860099</c:v>
                </c:pt>
                <c:pt idx="117" formatCode="0.0">
                  <c:v>4.3172211859606815</c:v>
                </c:pt>
                <c:pt idx="118" formatCode="0.0">
                  <c:v>1.3572784495536201</c:v>
                </c:pt>
                <c:pt idx="119" formatCode="0.0">
                  <c:v>-1.7683885380383262</c:v>
                </c:pt>
                <c:pt idx="120" formatCode="0.0">
                  <c:v>-4.717241900824094</c:v>
                </c:pt>
                <c:pt idx="121" formatCode="0.0">
                  <c:v>-7.1619262198667837</c:v>
                </c:pt>
                <c:pt idx="122" formatCode="0.0">
                  <c:v>-8.8257396119242308</c:v>
                </c:pt>
                <c:pt idx="123" formatCode="0.0">
                  <c:v>-9.5130185569584036</c:v>
                </c:pt>
                <c:pt idx="124" formatCode="0.0">
                  <c:v>-9.1311292284375387</c:v>
                </c:pt>
                <c:pt idx="125" formatCode="0.0">
                  <c:v>-7.7016169166236796</c:v>
                </c:pt>
                <c:pt idx="126" formatCode="0.0">
                  <c:v>-5.3591925697428167</c:v>
                </c:pt>
                <c:pt idx="127" formatCode="0.0">
                  <c:v>-2.3385154504607026</c:v>
                </c:pt>
                <c:pt idx="128" formatCode="0.0">
                  <c:v>1.0499698527739296</c:v>
                </c:pt>
                <c:pt idx="129" formatCode="0.0">
                  <c:v>4.4527020412801619</c:v>
                </c:pt>
                <c:pt idx="130" formatCode="0.0">
                  <c:v>7.5107989751365647</c:v>
                </c:pt>
                <c:pt idx="131" formatCode="0.0">
                  <c:v>9.8990094129009893</c:v>
                </c:pt>
                <c:pt idx="132" formatCode="0.0">
                  <c:v>11.361668551804611</c:v>
                </c:pt>
                <c:pt idx="133" formatCode="0.0">
                  <c:v>11.741761559572925</c:v>
                </c:pt>
                <c:pt idx="134" formatCode="0.0">
                  <c:v>10.999871686027459</c:v>
                </c:pt>
                <c:pt idx="135" formatCode="0.0">
                  <c:v>9.2208134059792854</c:v>
                </c:pt>
                <c:pt idx="136" formatCode="0.0">
                  <c:v>6.6070240008595089</c:v>
                </c:pt>
                <c:pt idx="137" formatCode="0.0">
                  <c:v>3.4591790938195306</c:v>
                </c:pt>
                <c:pt idx="138" formatCode="0.0">
                  <c:v>0.14586452916438386</c:v>
                </c:pt>
                <c:pt idx="139" formatCode="0.0">
                  <c:v>-2.9346653919027013</c:v>
                </c:pt>
                <c:pt idx="140" formatCode="0.0">
                  <c:v>-5.3967136352671252</c:v>
                </c:pt>
                <c:pt idx="141" formatCode="0.0">
                  <c:v>-6.9089184715105709</c:v>
                </c:pt>
                <c:pt idx="142" formatCode="0.0">
                  <c:v>-7.2311079376468346</c:v>
                </c:pt>
                <c:pt idx="143" formatCode="0.0">
                  <c:v>-6.2421816841236719</c:v>
                </c:pt>
                <c:pt idx="144" formatCode="0.0">
                  <c:v>-3.9558336725980769</c:v>
                </c:pt>
                <c:pt idx="145" formatCode="0.0">
                  <c:v>-0.52214590426385854</c:v>
                </c:pt>
                <c:pt idx="146" formatCode="0.0">
                  <c:v>3.7854655710656822</c:v>
                </c:pt>
                <c:pt idx="147" formatCode="0.0">
                  <c:v>8.5969322796372776</c:v>
                </c:pt>
                <c:pt idx="148" formatCode="0.0">
                  <c:v>13.483354603217037</c:v>
                </c:pt>
                <c:pt idx="149" formatCode="0.0">
                  <c:v>18.002232478413696</c:v>
                </c:pt>
                <c:pt idx="150" formatCode="0.0">
                  <c:v>21.745493338234205</c:v>
                </c:pt>
                <c:pt idx="151" formatCode="0.0">
                  <c:v>24.385283885710102</c:v>
                </c:pt>
                <c:pt idx="152" formatCode="0.0">
                  <c:v>25.712586859555184</c:v>
                </c:pt>
                <c:pt idx="153" formatCode="0.0">
                  <c:v>25.664337497572923</c:v>
                </c:pt>
                <c:pt idx="154" formatCode="0.0">
                  <c:v>24.335796725015584</c:v>
                </c:pt>
                <c:pt idx="155" formatCode="0.0">
                  <c:v>21.976389569239451</c:v>
                </c:pt>
                <c:pt idx="156" formatCode="0.0">
                  <c:v>18.968897935676683</c:v>
                </c:pt>
                <c:pt idx="157" formatCode="0.0">
                  <c:v>15.793639647468156</c:v>
                </c:pt>
                <c:pt idx="158" formatCode="0.0">
                  <c:v>12.980892850635811</c:v>
                </c:pt>
                <c:pt idx="159" formatCode="0.0">
                  <c:v>11.05616592879608</c:v>
                </c:pt>
                <c:pt idx="160" formatCode="0.0">
                  <c:v>10.48382193507684</c:v>
                </c:pt>
                <c:pt idx="161" formatCode="0.0">
                  <c:v>11.614937148540152</c:v>
                </c:pt>
                <c:pt idx="162" formatCode="0.0">
                  <c:v>14.645051243941108</c:v>
                </c:pt>
                <c:pt idx="163" formatCode="0.0">
                  <c:v>19.586655686030181</c:v>
                </c:pt>
                <c:pt idx="164" formatCode="0.0">
                  <c:v>26.259930785783578</c:v>
                </c:pt>
                <c:pt idx="165" formatCode="0.0">
                  <c:v>34.303498529049875</c:v>
                </c:pt>
                <c:pt idx="166" formatCode="0.0">
                  <c:v>43.204970251122099</c:v>
                </c:pt>
                <c:pt idx="167" formatCode="0.0">
                  <c:v>52.349027205550023</c:v>
                </c:pt>
                <c:pt idx="168" formatCode="0.0">
                  <c:v>61.078880792018211</c:v>
                </c:pt>
                <c:pt idx="169" formatCode="0.0">
                  <c:v>68.765411620562958</c:v>
                </c:pt>
                <c:pt idx="170" formatCode="0.0">
                  <c:v>74.877248497206693</c:v>
                </c:pt>
                <c:pt idx="171" formatCode="0.0">
                  <c:v>79.044640401543759</c:v>
                </c:pt>
                <c:pt idx="172" formatCode="0.0">
                  <c:v>81.110258929404338</c:v>
                </c:pt>
                <c:pt idx="173" formatCode="0.0">
                  <c:v>81.161041956285317</c:v>
                </c:pt>
                <c:pt idx="174" formatCode="0.0">
                  <c:v>79.536780637178396</c:v>
                </c:pt>
                <c:pt idx="175" formatCode="0.0">
                  <c:v>76.813228343736483</c:v>
                </c:pt>
                <c:pt idx="176" formatCode="0.0">
                  <c:v>73.759887901424108</c:v>
                </c:pt>
                <c:pt idx="177" formatCode="0.0">
                  <c:v>71.275094201238304</c:v>
                </c:pt>
                <c:pt idx="178" formatCode="0.0">
                  <c:v>70.303320220080138</c:v>
                </c:pt>
                <c:pt idx="179" formatCode="0.0">
                  <c:v>71.741570527576499</c:v>
                </c:pt>
                <c:pt idx="180" formatCode="0.0">
                  <c:v>76.34309152064445</c:v>
                </c:pt>
                <c:pt idx="181" formatCode="0.0">
                  <c:v>84.627274468495415</c:v>
                </c:pt>
                <c:pt idx="182" formatCode="0.0">
                  <c:v>96.804472150661368</c:v>
                </c:pt>
                <c:pt idx="183" formatCode="0.0">
                  <c:v>112.72348159593362</c:v>
                </c:pt>
                <c:pt idx="184" formatCode="0.0">
                  <c:v>131.84772897554768</c:v>
                </c:pt>
                <c:pt idx="185" formatCode="0.0">
                  <c:v>153.26386405112319</c:v>
                </c:pt>
                <c:pt idx="186" formatCode="0.0">
                  <c:v>175.72372668102707</c:v>
                </c:pt>
                <c:pt idx="187" formatCode="0.0">
                  <c:v>197.71772564341711</c:v>
                </c:pt>
                <c:pt idx="188" formatCode="0.0">
                  <c:v>217.57483094766428</c:v>
                </c:pt>
                <c:pt idx="189" formatCode="0.0">
                  <c:v>233.58188331505809</c:v>
                </c:pt>
                <c:pt idx="190" formatCode="0.0">
                  <c:v>244.11300113457858</c:v>
                </c:pt>
                <c:pt idx="191" formatCode="0.0">
                  <c:v>247.75870076130929</c:v>
                </c:pt>
                <c:pt idx="192" formatCode="0.0">
                  <c:v>243.44405998751324</c:v>
                </c:pt>
                <c:pt idx="193" formatCode="0.0">
                  <c:v>230.52588914060368</c:v>
                </c:pt>
                <c:pt idx="194" formatCode="0.0">
                  <c:v>208.86038973677574</c:v>
                </c:pt>
                <c:pt idx="195" formatCode="0.0">
                  <c:v>178.8350576833347</c:v>
                </c:pt>
                <c:pt idx="196" formatCode="0.0">
                  <c:v>141.3614379059845</c:v>
                </c:pt>
                <c:pt idx="197" formatCode="0.0">
                  <c:v>97.828518090448824</c:v>
                </c:pt>
                <c:pt idx="198" formatCode="0.0">
                  <c:v>50.019787339397631</c:v>
                </c:pt>
                <c:pt idx="199" formatCode="0.0">
                  <c:v>1.5749541369059294E-11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A7-2C4E-8CD7-0874162CC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928980</xdr:colOff>
      <xdr:row>13</xdr:row>
      <xdr:rowOff>70555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952500</xdr:colOff>
      <xdr:row>39</xdr:row>
      <xdr:rowOff>38100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C5ADE-A40A-0547-BAD1-917115E70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800100</xdr:colOff>
      <xdr:row>63</xdr:row>
      <xdr:rowOff>165100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41AC0-2928-3645-A041-D30BD3AD7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5197B-1376-9D47-98C4-9424427B689B}" name="Table1" displayName="Table1" ref="A1:M201" totalsRowShown="0" headerRowDxfId="0" dataDxfId="1">
  <autoFilter ref="A1:M201" xr:uid="{73F5197B-1376-9D47-98C4-9424427B689B}"/>
  <tableColumns count="13">
    <tableColumn id="1" xr3:uid="{DD60D2CC-77E6-1046-9394-D3A5096AEB40}" name="x" dataDxfId="14"/>
    <tableColumn id="2" xr3:uid="{F87F8763-8949-0F4F-8F83-D52268394D47}" name="f(x) = x^5" dataDxfId="13">
      <calculatedColumnFormula>A2^5</calculatedColumnFormula>
    </tableColumn>
    <tableColumn id="3" xr3:uid="{946A35A9-E11C-E141-B172-89907A82600B}" name="Serie Fourier (N=10)" dataDxfId="12">
      <calculatedColumnFormula>SUM(D2:M2)</calculatedColumnFormula>
    </tableColumn>
    <tableColumn id="4" xr3:uid="{5316DED2-E4BB-D64D-B337-17F573081F55}" name="Término n=1" dataDxfId="11">
      <calculatedColumnFormula>$P$2*SIN($O$2*$A2)</calculatedColumnFormula>
    </tableColumn>
    <tableColumn id="5" xr3:uid="{E491D66B-ACDE-2F4B-A80E-33FFFE1063B2}" name="Término n=2" dataDxfId="10">
      <calculatedColumnFormula>$P$3*SIN($O$3*$A2)</calculatedColumnFormula>
    </tableColumn>
    <tableColumn id="6" xr3:uid="{53F22B21-3E6E-6744-AD4A-A49566CE343A}" name="Término n=3" dataDxfId="9">
      <calculatedColumnFormula>$P$4*SIN($O$4*$A2)</calculatedColumnFormula>
    </tableColumn>
    <tableColumn id="7" xr3:uid="{4B0572BE-F6A1-5245-A426-4A719A3F38A3}" name="Término n=4" dataDxfId="8">
      <calculatedColumnFormula>$P$5*SIN($O$5*$A2)</calculatedColumnFormula>
    </tableColumn>
    <tableColumn id="8" xr3:uid="{E81279BD-5FEE-7645-876A-434CE3649F56}" name="Término n=5" dataDxfId="7">
      <calculatedColumnFormula>$P$6*SIN($O$6*$A2)</calculatedColumnFormula>
    </tableColumn>
    <tableColumn id="9" xr3:uid="{1FC61937-8D42-E64B-A4C2-F526020E0A9F}" name="Término n=6" dataDxfId="6">
      <calculatedColumnFormula>$P$7*SIN($O$7*$A2)</calculatedColumnFormula>
    </tableColumn>
    <tableColumn id="10" xr3:uid="{C9B97051-F87F-3C43-80C6-0786CA0F2B42}" name="Término n=7" dataDxfId="5">
      <calculatedColumnFormula>$P$8*SIN($O$8*$A2)</calculatedColumnFormula>
    </tableColumn>
    <tableColumn id="11" xr3:uid="{F54F7495-16BA-D041-B312-F3477852C2C8}" name="Término n=8" dataDxfId="4">
      <calculatedColumnFormula>$P$9*SIN($O$9*$A2)</calculatedColumnFormula>
    </tableColumn>
    <tableColumn id="12" xr3:uid="{395DB299-A15E-FD4D-967D-15F9CBA967DC}" name="Término n=9" dataDxfId="3">
      <calculatedColumnFormula>$P$10*SIN($O$10*$A2)</calculatedColumnFormula>
    </tableColumn>
    <tableColumn id="13" xr3:uid="{17EDEB2A-4372-A44B-BB49-53F50F64A30E}" name="Término n=10" dataDxfId="2">
      <calculatedColumnFormula>$P$11*SIN($O$11*$A2)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16C1E1-412C-4F49-9ED4-BC82E9D5E373}" name="Table2" displayName="Table2" ref="O1:P11" totalsRowShown="0" headerRowDxfId="15">
  <autoFilter ref="O1:P11" xr:uid="{4C16C1E1-412C-4F49-9ED4-BC82E9D5E373}"/>
  <tableColumns count="2">
    <tableColumn id="1" xr3:uid="{4BE5889D-6D3B-CA4D-910B-40B0D90FE282}" name="n"/>
    <tableColumn id="2" xr3:uid="{B942C0A2-9F51-5942-ACEB-9F147B7FA8C0}" name="Coeficiente b_n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14CEAD-753E-F34B-AF62-27DC2C35A48D}" name="Table4" displayName="Table4" ref="S1:S2" totalsRowShown="0">
  <autoFilter ref="S1:S2" xr:uid="{5014CEAD-753E-F34B-AF62-27DC2C35A48D}"/>
  <tableColumns count="1">
    <tableColumn id="1" xr3:uid="{A0AAEEE8-1ED1-B245-A4EA-53A0984B2862}" name="Salto">
      <calculatedColumnFormula>(PI() - (-PI())) / (200 - 1)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topLeftCell="A101" workbookViewId="0">
      <selection activeCell="P114" sqref="P114"/>
    </sheetView>
  </sheetViews>
  <sheetFormatPr baseColWidth="10" defaultColWidth="8.83203125" defaultRowHeight="15"/>
  <cols>
    <col min="1" max="1" width="7" customWidth="1"/>
    <col min="2" max="2" width="8.5" customWidth="1"/>
    <col min="3" max="3" width="7.83203125" customWidth="1"/>
    <col min="4" max="4" width="7.5" customWidth="1"/>
    <col min="5" max="5" width="7.33203125" customWidth="1"/>
    <col min="6" max="6" width="7" customWidth="1"/>
    <col min="7" max="7" width="7.6640625" customWidth="1"/>
    <col min="8" max="9" width="7.1640625" customWidth="1"/>
    <col min="10" max="10" width="7" customWidth="1"/>
    <col min="11" max="11" width="8.33203125" customWidth="1"/>
    <col min="12" max="12" width="8.1640625" customWidth="1"/>
    <col min="13" max="13" width="8" customWidth="1"/>
    <col min="14" max="16" width="18" customWidth="1"/>
  </cols>
  <sheetData>
    <row r="1" spans="1:19" ht="32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O1" s="1" t="s">
        <v>13</v>
      </c>
      <c r="P1" s="1" t="s">
        <v>14</v>
      </c>
      <c r="S1" t="s">
        <v>15</v>
      </c>
    </row>
    <row r="2" spans="1:19">
      <c r="A2" s="3">
        <v>-3.1415926535897931</v>
      </c>
      <c r="B2" s="4">
        <f t="shared" ref="B2:B33" si="0">A2^5</f>
        <v>-306.01968478528141</v>
      </c>
      <c r="C2" s="4">
        <f t="shared" ref="C2:C33" si="1">SUM(D2:M2)</f>
        <v>-1.954593634191964E-13</v>
      </c>
      <c r="D2" s="4">
        <f t="shared" ref="D2:D33" si="2">$P$2*SIN($O$2*$A2)</f>
        <v>-4.9027517334864685E-15</v>
      </c>
      <c r="E2" s="4">
        <f t="shared" ref="E2:E33" si="3">$P$3*SIN($O$3*$A2)</f>
        <v>-1.3608537068605161E-14</v>
      </c>
      <c r="F2" s="4">
        <f t="shared" ref="F2:F33" si="4">$P$4*SIN($O$4*$A2)</f>
        <v>-1.8849302646656332E-14</v>
      </c>
      <c r="G2" s="4">
        <f t="shared" ref="G2:G33" si="5">$P$5*SIN($O$5*$A2)</f>
        <v>-2.095146208628773E-14</v>
      </c>
      <c r="H2" s="4">
        <f t="shared" ref="H2:H33" si="6">$P$6*SIN($O$6*$A2)</f>
        <v>-2.197148803543295E-14</v>
      </c>
      <c r="I2" s="4">
        <f t="shared" ref="I2:I33" si="7">$P$7*SIN($O$7*$A2)</f>
        <v>-2.2538049459774751E-14</v>
      </c>
      <c r="J2" s="4">
        <f t="shared" ref="J2:J33" si="8">$P$8*SIN($O$8*$A2)</f>
        <v>-2.288391180340813E-14</v>
      </c>
      <c r="K2" s="4">
        <f t="shared" ref="K2:K33" si="9">$P$9*SIN($O$9*$A2)</f>
        <v>-2.3110098258452305E-14</v>
      </c>
      <c r="L2" s="4">
        <f t="shared" ref="L2:L33" si="10">$P$10*SIN($O$10*$A2)</f>
        <v>-2.3265948043791552E-14</v>
      </c>
      <c r="M2" s="4">
        <f t="shared" ref="M2:M33" si="11">$P$11*SIN($O$11*$A2)</f>
        <v>-2.337781428330101E-14</v>
      </c>
      <c r="O2">
        <v>1</v>
      </c>
      <c r="P2">
        <f>(2/PI()) * (-1)^(1+1) * ( (PI()^5)/1 - (20*PI()^3)/(1^3) + (120*PI())/(1^5) )</f>
        <v>40.034006024430518</v>
      </c>
      <c r="S2">
        <f>(PI() - (-PI())) / (200 - 1)</f>
        <v>3.1573795513465258E-2</v>
      </c>
    </row>
    <row r="3" spans="1:19" ht="18">
      <c r="A3" s="6" cm="1">
        <f t="array" ref="A3">A2+Table4[Salto]</f>
        <v>-3.1100188580763279</v>
      </c>
      <c r="B3" s="6">
        <f t="shared" si="0"/>
        <v>-290.94782318186714</v>
      </c>
      <c r="C3" s="6">
        <f t="shared" si="1"/>
        <v>-50.019787339382404</v>
      </c>
      <c r="D3" s="6">
        <f t="shared" si="2"/>
        <v>-1.2638155114669607</v>
      </c>
      <c r="E3" s="6">
        <f t="shared" si="3"/>
        <v>-3.5062163374540467</v>
      </c>
      <c r="F3" s="6">
        <f t="shared" si="4"/>
        <v>-4.8524560241338097</v>
      </c>
      <c r="G3" s="6">
        <f t="shared" si="5"/>
        <v>-5.3873492074687865</v>
      </c>
      <c r="H3" s="6">
        <f t="shared" si="6"/>
        <v>-5.6411799164656351</v>
      </c>
      <c r="I3" s="6">
        <f t="shared" si="7"/>
        <v>-5.7760567593214844</v>
      </c>
      <c r="J3" s="6">
        <f t="shared" si="8"/>
        <v>-5.8520047616754107</v>
      </c>
      <c r="K3" s="6">
        <f t="shared" si="9"/>
        <v>-5.8950804432550106</v>
      </c>
      <c r="L3" s="6">
        <f t="shared" si="10"/>
        <v>-5.9180148933188503</v>
      </c>
      <c r="M3" s="6">
        <f t="shared" si="11"/>
        <v>-5.9276134848224098</v>
      </c>
      <c r="O3">
        <v>2</v>
      </c>
      <c r="P3">
        <f>(2/PI()) * (-1)^(2+1) * ( (PI()^5)/2 - (20*PI()^3)/(2^3) + (120*PI())/(2^5) )</f>
        <v>-55.561069028555643</v>
      </c>
      <c r="S3" s="2"/>
    </row>
    <row r="4" spans="1:19">
      <c r="A4" s="4" cm="1">
        <f t="array" ref="A4">A3+Table4[Salto]</f>
        <v>-3.0784450625628628</v>
      </c>
      <c r="B4" s="4">
        <f t="shared" si="0"/>
        <v>-276.47574578730018</v>
      </c>
      <c r="C4" s="4">
        <f t="shared" si="1"/>
        <v>-97.828518090434628</v>
      </c>
      <c r="D4" s="4">
        <f t="shared" si="2"/>
        <v>-2.5263712241470655</v>
      </c>
      <c r="E4" s="4">
        <f t="shared" si="3"/>
        <v>-6.998455868083961</v>
      </c>
      <c r="F4" s="4">
        <f t="shared" si="4"/>
        <v>-9.6614076701740945</v>
      </c>
      <c r="G4" s="4">
        <f t="shared" si="5"/>
        <v>-10.688881805796782</v>
      </c>
      <c r="H4" s="4">
        <f t="shared" si="6"/>
        <v>-11.142058635779042</v>
      </c>
      <c r="I4" s="4">
        <f t="shared" si="7"/>
        <v>-11.345438351375075</v>
      </c>
      <c r="J4" s="4">
        <f t="shared" si="8"/>
        <v>-11.419310659003823</v>
      </c>
      <c r="K4" s="4">
        <f t="shared" si="9"/>
        <v>-11.416039101956798</v>
      </c>
      <c r="L4" s="4">
        <f t="shared" si="10"/>
        <v>-11.36136143746039</v>
      </c>
      <c r="M4" s="4">
        <f t="shared" si="11"/>
        <v>-11.26919333665759</v>
      </c>
      <c r="O4">
        <v>3</v>
      </c>
      <c r="P4">
        <f>(2/PI()) * (-1)^(3+1) * ( (PI()^5)/3 - (20*PI()^3)/(3^3) + (120*PI())/(3^5) )</f>
        <v>51.305412193893922</v>
      </c>
    </row>
    <row r="5" spans="1:19">
      <c r="A5" s="4" cm="1">
        <f t="array" ref="A5">A4+Table4[Salto]</f>
        <v>-3.0468712670493976</v>
      </c>
      <c r="B5" s="4">
        <f t="shared" si="0"/>
        <v>-262.58537050992004</v>
      </c>
      <c r="C5" s="4">
        <f t="shared" si="1"/>
        <v>-141.36143790597185</v>
      </c>
      <c r="D5" s="4">
        <f t="shared" si="2"/>
        <v>-3.786408595048298</v>
      </c>
      <c r="E5" s="4">
        <f t="shared" si="3"/>
        <v>-10.462797500717549</v>
      </c>
      <c r="F5" s="4">
        <f t="shared" si="4"/>
        <v>-14.383740595692496</v>
      </c>
      <c r="G5" s="4">
        <f t="shared" si="5"/>
        <v>-15.820148182880333</v>
      </c>
      <c r="H5" s="4">
        <f t="shared" si="6"/>
        <v>-16.365824377224698</v>
      </c>
      <c r="I5" s="4">
        <f t="shared" si="7"/>
        <v>-16.508864727491041</v>
      </c>
      <c r="J5" s="4">
        <f t="shared" si="8"/>
        <v>-16.431069370599182</v>
      </c>
      <c r="K5" s="4">
        <f t="shared" si="9"/>
        <v>-16.212497227974602</v>
      </c>
      <c r="L5" s="4">
        <f t="shared" si="10"/>
        <v>-15.893443178261712</v>
      </c>
      <c r="M5" s="4">
        <f t="shared" si="11"/>
        <v>-15.496644150081917</v>
      </c>
      <c r="O5">
        <v>4</v>
      </c>
      <c r="P5">
        <f>(2/PI()) * (-1)^(4+1) * ( (PI()^5)/4 - (20*PI()^3)/(4^3) + (120*PI())/(4^5) )</f>
        <v>-42.770417766320364</v>
      </c>
    </row>
    <row r="6" spans="1:19">
      <c r="A6" s="4" cm="1">
        <f t="array" ref="A6">A5+Table4[Salto]</f>
        <v>-3.0152974715359324</v>
      </c>
      <c r="B6" s="4">
        <f t="shared" si="0"/>
        <v>-249.25898238802165</v>
      </c>
      <c r="C6" s="4">
        <f t="shared" si="1"/>
        <v>-178.83505768332418</v>
      </c>
      <c r="D6" s="4">
        <f t="shared" si="2"/>
        <v>-5.0426715915164868</v>
      </c>
      <c r="E6" s="4">
        <f t="shared" si="3"/>
        <v>-13.885431353387508</v>
      </c>
      <c r="F6" s="4">
        <f t="shared" si="4"/>
        <v>-18.977117032752005</v>
      </c>
      <c r="G6" s="4">
        <f t="shared" si="5"/>
        <v>-20.699410945407553</v>
      </c>
      <c r="H6" s="4">
        <f t="shared" si="6"/>
        <v>-21.182557408047938</v>
      </c>
      <c r="I6" s="4">
        <f t="shared" si="7"/>
        <v>-21.081581468794294</v>
      </c>
      <c r="J6" s="4">
        <f t="shared" si="8"/>
        <v>-20.643459834845736</v>
      </c>
      <c r="K6" s="4">
        <f t="shared" si="9"/>
        <v>-19.980055332461138</v>
      </c>
      <c r="L6" s="4">
        <f t="shared" si="10"/>
        <v>-19.150753805410648</v>
      </c>
      <c r="M6" s="4">
        <f t="shared" si="11"/>
        <v>-18.192018910700853</v>
      </c>
      <c r="O6">
        <v>5</v>
      </c>
      <c r="P6">
        <f>(2/PI()) * (-1)^(5+1) * ( (PI()^5)/5 - (20*PI()^3)/(5^3) + (120*PI())/(5^5) )</f>
        <v>35.88216300525238</v>
      </c>
    </row>
    <row r="7" spans="1:19">
      <c r="A7" s="4" cm="1">
        <f t="array" ref="A7">A6+Table4[Salto]</f>
        <v>-2.9837236760224672</v>
      </c>
      <c r="B7" s="4">
        <f t="shared" si="0"/>
        <v>-236.4792298244202</v>
      </c>
      <c r="C7" s="4">
        <f t="shared" si="1"/>
        <v>-208.86038973676779</v>
      </c>
      <c r="D7" s="4">
        <f t="shared" si="2"/>
        <v>-6.2939079432759835</v>
      </c>
      <c r="E7" s="4">
        <f t="shared" si="3"/>
        <v>-17.252713803571904</v>
      </c>
      <c r="F7" s="4">
        <f t="shared" si="4"/>
        <v>-23.40035536440438</v>
      </c>
      <c r="G7" s="4">
        <f t="shared" si="5"/>
        <v>-25.248946936912848</v>
      </c>
      <c r="H7" s="4">
        <f t="shared" si="6"/>
        <v>-25.472461263574029</v>
      </c>
      <c r="I7" s="4">
        <f t="shared" si="7"/>
        <v>-24.899970550608593</v>
      </c>
      <c r="J7" s="4">
        <f t="shared" si="8"/>
        <v>-23.851550095909975</v>
      </c>
      <c r="K7" s="4">
        <f t="shared" si="9"/>
        <v>-22.479611409086509</v>
      </c>
      <c r="L7" s="4">
        <f t="shared" si="10"/>
        <v>-20.872033033825481</v>
      </c>
      <c r="M7" s="4">
        <f t="shared" si="11"/>
        <v>-19.088839335598056</v>
      </c>
      <c r="O7">
        <v>6</v>
      </c>
      <c r="P7">
        <f>(2/PI()) * (-1)^(6+1) * ( (PI()^5)/6 - (20*PI()^3)/(6^3) + (120*PI())/(6^5) )</f>
        <v>-30.672856690144755</v>
      </c>
    </row>
    <row r="8" spans="1:19">
      <c r="A8" s="4" cm="1">
        <f t="array" ref="A8">A7+Table4[Salto]</f>
        <v>-2.9521498805090021</v>
      </c>
      <c r="B8" s="4">
        <f t="shared" si="0"/>
        <v>-224.22912082101485</v>
      </c>
      <c r="C8" s="4">
        <f t="shared" si="1"/>
        <v>-230.52588914059828</v>
      </c>
      <c r="D8" s="4">
        <f t="shared" si="2"/>
        <v>-7.5388703907199011</v>
      </c>
      <c r="E8" s="4">
        <f t="shared" si="3"/>
        <v>-20.551221875675726</v>
      </c>
      <c r="F8" s="4">
        <f t="shared" si="4"/>
        <v>-27.613799335792041</v>
      </c>
      <c r="G8" s="4">
        <f t="shared" si="5"/>
        <v>-29.396285311917392</v>
      </c>
      <c r="H8" s="4">
        <f t="shared" si="6"/>
        <v>-29.128842192582379</v>
      </c>
      <c r="I8" s="4">
        <f t="shared" si="7"/>
        <v>-27.827404817928141</v>
      </c>
      <c r="J8" s="4">
        <f t="shared" si="8"/>
        <v>-25.899267202513759</v>
      </c>
      <c r="K8" s="4">
        <f t="shared" si="9"/>
        <v>-23.552535157725156</v>
      </c>
      <c r="L8" s="4">
        <f t="shared" si="10"/>
        <v>-20.919221601312252</v>
      </c>
      <c r="M8" s="4">
        <f t="shared" si="11"/>
        <v>-18.098441254431542</v>
      </c>
      <c r="O8">
        <v>7</v>
      </c>
      <c r="P8">
        <f>(2/PI()) * (-1)^(7+1) * ( (PI()^5)/7 - (20*PI()^3)/(7^3) + (120*PI())/(7^5) )</f>
        <v>26.694474357062205</v>
      </c>
    </row>
    <row r="9" spans="1:19">
      <c r="A9" s="4" cm="1">
        <f t="array" ref="A9">A8+Table4[Salto]</f>
        <v>-2.9205760849955369</v>
      </c>
      <c r="B9" s="4">
        <f t="shared" si="0"/>
        <v>-212.4920192133541</v>
      </c>
      <c r="C9" s="4">
        <f t="shared" si="1"/>
        <v>-243.44405998751051</v>
      </c>
      <c r="D9" s="4">
        <f t="shared" si="2"/>
        <v>-8.7763179282056143</v>
      </c>
      <c r="E9" s="4">
        <f t="shared" si="3"/>
        <v>-23.767806748949059</v>
      </c>
      <c r="F9" s="4">
        <f t="shared" si="4"/>
        <v>-31.579673589715529</v>
      </c>
      <c r="G9" s="4">
        <f t="shared" si="5"/>
        <v>-33.075361944522534</v>
      </c>
      <c r="H9" s="4">
        <f t="shared" si="6"/>
        <v>-32.06076272646159</v>
      </c>
      <c r="I9" s="4">
        <f t="shared" si="7"/>
        <v>-29.759136690859975</v>
      </c>
      <c r="J9" s="4">
        <f t="shared" si="8"/>
        <v>-26.686990125882168</v>
      </c>
      <c r="K9" s="4">
        <f t="shared" si="9"/>
        <v>-23.130735200932101</v>
      </c>
      <c r="L9" s="4">
        <f t="shared" si="10"/>
        <v>-19.288534637465474</v>
      </c>
      <c r="M9" s="4">
        <f t="shared" si="11"/>
        <v>-15.318740394516496</v>
      </c>
      <c r="O9">
        <v>8</v>
      </c>
      <c r="P9">
        <f>(2/PI()) * (-1)^(8+1) * ( (PI()^5)/8 - (20*PI()^3)/(8^3) + (120*PI())/(8^5) )</f>
        <v>-23.588534133415504</v>
      </c>
    </row>
    <row r="10" spans="1:19">
      <c r="A10" s="4" cm="1">
        <f t="array" ref="A10">A9+Table4[Salto]</f>
        <v>-2.8890022894820717</v>
      </c>
      <c r="B10" s="4">
        <f t="shared" si="0"/>
        <v>-201.25164090520019</v>
      </c>
      <c r="C10" s="4">
        <f t="shared" si="1"/>
        <v>-247.75870076130934</v>
      </c>
      <c r="D10" s="4">
        <f t="shared" si="2"/>
        <v>-10.005017041116181</v>
      </c>
      <c r="E10" s="4">
        <f t="shared" si="3"/>
        <v>-26.889646172543639</v>
      </c>
      <c r="F10" s="4">
        <f t="shared" si="4"/>
        <v>-35.262422339134986</v>
      </c>
      <c r="G10" s="4">
        <f t="shared" si="5"/>
        <v>-36.227571782555025</v>
      </c>
      <c r="H10" s="4">
        <f t="shared" si="6"/>
        <v>-34.195303375503947</v>
      </c>
      <c r="I10" s="4">
        <f t="shared" si="7"/>
        <v>-30.626046175506723</v>
      </c>
      <c r="J10" s="4">
        <f t="shared" si="8"/>
        <v>-26.176396302921621</v>
      </c>
      <c r="K10" s="4">
        <f t="shared" si="9"/>
        <v>-21.2409803935311</v>
      </c>
      <c r="L10" s="4">
        <f t="shared" si="10"/>
        <v>-16.110765238130099</v>
      </c>
      <c r="M10" s="4">
        <f t="shared" si="11"/>
        <v>-11.024551940365992</v>
      </c>
      <c r="O10">
        <v>9</v>
      </c>
      <c r="P10">
        <f>(2/PI()) * (-1)^(9+1) * ( (PI()^5)/9 - (20*PI()^3)/(9^3) + (120*PI())/(9^5) )</f>
        <v>21.108987015675968</v>
      </c>
    </row>
    <row r="11" spans="1:19">
      <c r="A11" s="4" cm="1">
        <f t="array" ref="A11">A10+Table4[Salto]</f>
        <v>-2.8574284939686065</v>
      </c>
      <c r="B11" s="4">
        <f t="shared" si="0"/>
        <v>-190.49205010309313</v>
      </c>
      <c r="C11" s="4">
        <f t="shared" si="1"/>
        <v>-244.11300113458086</v>
      </c>
      <c r="D11" s="4">
        <f t="shared" si="2"/>
        <v>-11.223742935454528</v>
      </c>
      <c r="E11" s="4">
        <f t="shared" si="3"/>
        <v>-29.904295578765961</v>
      </c>
      <c r="F11" s="4">
        <f t="shared" si="4"/>
        <v>-38.629028140260864</v>
      </c>
      <c r="G11" s="4">
        <f t="shared" si="5"/>
        <v>-38.802702384017387</v>
      </c>
      <c r="H11" s="4">
        <f t="shared" si="6"/>
        <v>-35.479376201925966</v>
      </c>
      <c r="I11" s="4">
        <f t="shared" si="7"/>
        <v>-30.397114071363397</v>
      </c>
      <c r="J11" s="4">
        <f t="shared" si="8"/>
        <v>-24.392326021270232</v>
      </c>
      <c r="K11" s="4">
        <f t="shared" si="9"/>
        <v>-18.003200980362454</v>
      </c>
      <c r="L11" s="4">
        <f t="shared" si="10"/>
        <v>-11.640793896518709</v>
      </c>
      <c r="M11" s="4">
        <f t="shared" si="11"/>
        <v>-5.6404209246413402</v>
      </c>
      <c r="O11">
        <v>10</v>
      </c>
      <c r="P11">
        <f>(2/PI()) * (-1)^(10+1) * ( (PI()^5)/10 - (20*PI()^3)/(10^3) + (120*PI())/(10^5) )</f>
        <v>-19.089434030756912</v>
      </c>
    </row>
    <row r="12" spans="1:19">
      <c r="A12" s="4" cm="1">
        <f t="array" ref="A12">A11+Table4[Salto]</f>
        <v>-2.8258546984551414</v>
      </c>
      <c r="B12" s="4">
        <f t="shared" si="0"/>
        <v>-180.19765555091584</v>
      </c>
      <c r="C12" s="4">
        <f t="shared" si="1"/>
        <v>-233.58188331506236</v>
      </c>
      <c r="D12" s="4">
        <f t="shared" si="2"/>
        <v>-12.431280758744755</v>
      </c>
      <c r="E12" s="4">
        <f t="shared" si="3"/>
        <v>-32.799737690774577</v>
      </c>
      <c r="F12" s="4">
        <f t="shared" si="4"/>
        <v>-41.649307908293309</v>
      </c>
      <c r="G12" s="4">
        <f t="shared" si="5"/>
        <v>-40.759733765277275</v>
      </c>
      <c r="H12" s="4">
        <f t="shared" si="6"/>
        <v>-35.881045164430375</v>
      </c>
      <c r="I12" s="4">
        <f t="shared" si="7"/>
        <v>-29.08053188050285</v>
      </c>
      <c r="J12" s="4">
        <f t="shared" si="8"/>
        <v>-21.42157394425902</v>
      </c>
      <c r="K12" s="4">
        <f t="shared" si="9"/>
        <v>-13.622877416477502</v>
      </c>
      <c r="L12" s="4">
        <f t="shared" si="10"/>
        <v>-6.2371452118153847</v>
      </c>
      <c r="M12" s="4">
        <f t="shared" si="11"/>
        <v>0.30135042551271546</v>
      </c>
    </row>
    <row r="13" spans="1:19">
      <c r="A13" s="4" cm="1">
        <f t="array" ref="A13">A12+Table4[Salto]</f>
        <v>-2.7942809029416762</v>
      </c>
      <c r="B13" s="4">
        <f t="shared" si="0"/>
        <v>-170.35320676445872</v>
      </c>
      <c r="C13" s="4">
        <f t="shared" si="1"/>
        <v>-217.57483094766988</v>
      </c>
      <c r="D13" s="4">
        <f t="shared" si="2"/>
        <v>-13.626426811023491</v>
      </c>
      <c r="E13" s="4">
        <f t="shared" si="3"/>
        <v>-35.564430426970681</v>
      </c>
      <c r="F13" s="4">
        <f t="shared" si="4"/>
        <v>-44.296183521900893</v>
      </c>
      <c r="G13" s="4">
        <f t="shared" si="5"/>
        <v>-42.067491819987737</v>
      </c>
      <c r="H13" s="4">
        <f t="shared" si="6"/>
        <v>-35.390320396157271</v>
      </c>
      <c r="I13" s="4">
        <f t="shared" si="7"/>
        <v>-26.723408704489774</v>
      </c>
      <c r="J13" s="4">
        <f t="shared" si="8"/>
        <v>-17.408666567854159</v>
      </c>
      <c r="K13" s="4">
        <f t="shared" si="9"/>
        <v>-8.3779998810460814</v>
      </c>
      <c r="L13" s="4">
        <f t="shared" si="10"/>
        <v>-0.33323157769232353</v>
      </c>
      <c r="M13" s="4">
        <f t="shared" si="11"/>
        <v>6.213328759452529</v>
      </c>
    </row>
    <row r="14" spans="1:19">
      <c r="A14" s="4" cm="1">
        <f t="array" ref="A14">A13+Table4[Salto]</f>
        <v>-2.762707107428211</v>
      </c>
      <c r="B14" s="4">
        <f t="shared" si="0"/>
        <v>-160.94379026598369</v>
      </c>
      <c r="C14" s="4">
        <f t="shared" si="1"/>
        <v>-197.71772564342368</v>
      </c>
      <c r="D14" s="4">
        <f t="shared" si="2"/>
        <v>-14.807989744714206</v>
      </c>
      <c r="E14" s="4">
        <f t="shared" si="3"/>
        <v>-38.187352911121074</v>
      </c>
      <c r="F14" s="4">
        <f t="shared" si="4"/>
        <v>-46.545924590352072</v>
      </c>
      <c r="G14" s="4">
        <f t="shared" si="5"/>
        <v>-42.705144900243674</v>
      </c>
      <c r="H14" s="4">
        <f t="shared" si="6"/>
        <v>-34.019406661620536</v>
      </c>
      <c r="I14" s="4">
        <f t="shared" si="7"/>
        <v>-23.410085616650147</v>
      </c>
      <c r="J14" s="4">
        <f t="shared" si="8"/>
        <v>-12.54883103545678</v>
      </c>
      <c r="K14" s="4">
        <f t="shared" si="9"/>
        <v>-2.6014260784212682</v>
      </c>
      <c r="L14" s="4">
        <f t="shared" si="10"/>
        <v>5.5974096814414622</v>
      </c>
      <c r="M14" s="4">
        <f t="shared" si="11"/>
        <v>11.511026213714619</v>
      </c>
    </row>
    <row r="15" spans="1:19">
      <c r="A15" s="4" cm="1">
        <f t="array" ref="A15">A14+Table4[Salto]</f>
        <v>-2.7311333119147458</v>
      </c>
      <c r="B15" s="4">
        <f t="shared" si="0"/>
        <v>-151.95482581878935</v>
      </c>
      <c r="C15" s="4">
        <f t="shared" si="1"/>
        <v>-175.72372668103407</v>
      </c>
      <c r="D15" s="4">
        <f t="shared" si="2"/>
        <v>-15.974791752188372</v>
      </c>
      <c r="E15" s="4">
        <f t="shared" si="3"/>
        <v>-40.658049404803691</v>
      </c>
      <c r="F15" s="4">
        <f t="shared" si="4"/>
        <v>-48.378361206785684</v>
      </c>
      <c r="G15" s="4">
        <f t="shared" si="5"/>
        <v>-42.662535649792808</v>
      </c>
      <c r="H15" s="4">
        <f t="shared" si="6"/>
        <v>-31.802399813282978</v>
      </c>
      <c r="I15" s="4">
        <f t="shared" si="7"/>
        <v>-19.259117823749698</v>
      </c>
      <c r="J15" s="4">
        <f t="shared" si="8"/>
        <v>-7.0784973763192554</v>
      </c>
      <c r="K15" s="4">
        <f t="shared" si="9"/>
        <v>3.3402430399011891</v>
      </c>
      <c r="L15" s="4">
        <f t="shared" si="10"/>
        <v>11.079097488944448</v>
      </c>
      <c r="M15" s="4">
        <f t="shared" si="11"/>
        <v>15.670685817042807</v>
      </c>
    </row>
    <row r="16" spans="1:19">
      <c r="A16" s="4" cm="1">
        <f t="array" ref="A16">A15+Table4[Salto]</f>
        <v>-2.6995595164012807</v>
      </c>
      <c r="B16" s="4">
        <f t="shared" si="0"/>
        <v>-143.37206266177495</v>
      </c>
      <c r="C16" s="4">
        <f t="shared" si="1"/>
        <v>-153.26386405113013</v>
      </c>
      <c r="D16" s="4">
        <f t="shared" si="2"/>
        <v>-17.125669739829739</v>
      </c>
      <c r="E16" s="4">
        <f t="shared" si="3"/>
        <v>-42.966670987047976</v>
      </c>
      <c r="F16" s="4">
        <f t="shared" si="4"/>
        <v>-49.777064780195992</v>
      </c>
      <c r="G16" s="4">
        <f t="shared" si="5"/>
        <v>-41.940342803436039</v>
      </c>
      <c r="H16" s="4">
        <f t="shared" si="6"/>
        <v>-28.794438797166919</v>
      </c>
      <c r="I16" s="4">
        <f t="shared" si="7"/>
        <v>-14.419032599440532</v>
      </c>
      <c r="J16" s="4">
        <f t="shared" si="8"/>
        <v>-1.2637962317826275</v>
      </c>
      <c r="K16" s="4">
        <f t="shared" si="9"/>
        <v>9.0699290141498352</v>
      </c>
      <c r="L16" s="4">
        <f t="shared" si="10"/>
        <v>15.672160139152234</v>
      </c>
      <c r="M16" s="4">
        <f t="shared" si="11"/>
        <v>18.28106273446765</v>
      </c>
    </row>
    <row r="17" spans="1:13">
      <c r="A17" s="4" cm="1">
        <f t="array" ref="A17">A16+Table4[Salto]</f>
        <v>-2.6679857208878155</v>
      </c>
      <c r="B17" s="4">
        <f t="shared" si="0"/>
        <v>-135.18157574400561</v>
      </c>
      <c r="C17" s="4">
        <f t="shared" si="1"/>
        <v>-131.84772897555402</v>
      </c>
      <c r="D17" s="4">
        <f t="shared" si="2"/>
        <v>-18.259476487431328</v>
      </c>
      <c r="E17" s="4">
        <f t="shared" si="3"/>
        <v>-45.104014815022957</v>
      </c>
      <c r="F17" s="4">
        <f t="shared" si="4"/>
        <v>-50.729495324894202</v>
      </c>
      <c r="G17" s="4">
        <f t="shared" si="5"/>
        <v>-40.550070375268852</v>
      </c>
      <c r="H17" s="4">
        <f t="shared" si="6"/>
        <v>-25.070334297880514</v>
      </c>
      <c r="I17" s="4">
        <f t="shared" si="7"/>
        <v>-9.0630147763871651</v>
      </c>
      <c r="J17" s="4">
        <f t="shared" si="8"/>
        <v>4.6123883473389276</v>
      </c>
      <c r="K17" s="4">
        <f t="shared" si="9"/>
        <v>14.224006553330041</v>
      </c>
      <c r="L17" s="4">
        <f t="shared" si="10"/>
        <v>19.008200204017925</v>
      </c>
      <c r="M17" s="4">
        <f t="shared" si="11"/>
        <v>19.08408199664412</v>
      </c>
    </row>
    <row r="18" spans="1:13">
      <c r="A18" s="4" cm="1">
        <f t="array" ref="A18">A17+Table4[Salto]</f>
        <v>-2.6364119253743503</v>
      </c>
      <c r="B18" s="4">
        <f t="shared" si="0"/>
        <v>-127.36976195927626</v>
      </c>
      <c r="C18" s="4">
        <f t="shared" si="1"/>
        <v>-112.72348159593908</v>
      </c>
      <c r="D18" s="4">
        <f t="shared" si="2"/>
        <v>-19.375081791769503</v>
      </c>
      <c r="E18" s="4">
        <f t="shared" si="3"/>
        <v>-47.061560809268272</v>
      </c>
      <c r="F18" s="4">
        <f t="shared" si="4"/>
        <v>-51.227113886932365</v>
      </c>
      <c r="G18" s="4">
        <f t="shared" si="5"/>
        <v>-38.513864407987313</v>
      </c>
      <c r="H18" s="4">
        <f t="shared" si="6"/>
        <v>-20.72270812988577</v>
      </c>
      <c r="I18" s="4">
        <f t="shared" si="7"/>
        <v>-3.3827099573934971</v>
      </c>
      <c r="J18" s="4">
        <f t="shared" si="8"/>
        <v>10.264181153402594</v>
      </c>
      <c r="K18" s="4">
        <f t="shared" si="9"/>
        <v>18.475380428590451</v>
      </c>
      <c r="L18" s="4">
        <f t="shared" si="10"/>
        <v>20.819642718131057</v>
      </c>
      <c r="M18" s="4">
        <f t="shared" si="11"/>
        <v>18.00035308717354</v>
      </c>
    </row>
    <row r="19" spans="1:13">
      <c r="A19" s="4" cm="1">
        <f t="array" ref="A19">A18+Table4[Salto]</f>
        <v>-2.6048381298608851</v>
      </c>
      <c r="B19" s="4">
        <f t="shared" si="0"/>
        <v>-119.92333638067667</v>
      </c>
      <c r="C19" s="4">
        <f t="shared" si="1"/>
        <v>-96.804472150665717</v>
      </c>
      <c r="D19" s="4">
        <f t="shared" si="2"/>
        <v>-20.471373593215088</v>
      </c>
      <c r="E19" s="4">
        <f t="shared" si="3"/>
        <v>-48.83150561723015</v>
      </c>
      <c r="F19" s="4">
        <f t="shared" si="4"/>
        <v>-51.265459099538376</v>
      </c>
      <c r="G19" s="4">
        <f t="shared" si="5"/>
        <v>-35.864160202310764</v>
      </c>
      <c r="H19" s="4">
        <f t="shared" si="6"/>
        <v>-15.859689650014484</v>
      </c>
      <c r="I19" s="4">
        <f t="shared" si="7"/>
        <v>2.4186328249364459</v>
      </c>
      <c r="J19" s="4">
        <f t="shared" si="8"/>
        <v>15.416623593765326</v>
      </c>
      <c r="K19" s="4">
        <f t="shared" si="9"/>
        <v>21.554244045038011</v>
      </c>
      <c r="L19" s="4">
        <f t="shared" si="10"/>
        <v>20.96119666021108</v>
      </c>
      <c r="M19" s="4">
        <f t="shared" si="11"/>
        <v>15.137018887692259</v>
      </c>
    </row>
    <row r="20" spans="1:13">
      <c r="A20" s="4" cm="1">
        <f t="array" ref="A20">A19+Table4[Salto]</f>
        <v>-2.57326433434742</v>
      </c>
      <c r="B20" s="4">
        <f t="shared" si="0"/>
        <v>-112.82932849515571</v>
      </c>
      <c r="C20" s="4">
        <f t="shared" si="1"/>
        <v>-84.627274468498541</v>
      </c>
      <c r="D20" s="4">
        <f t="shared" si="2"/>
        <v>-21.547259084258641</v>
      </c>
      <c r="E20" s="4">
        <f t="shared" si="3"/>
        <v>-50.40679371971374</v>
      </c>
      <c r="F20" s="4">
        <f t="shared" si="4"/>
        <v>-50.844187181208802</v>
      </c>
      <c r="G20" s="4">
        <f t="shared" si="5"/>
        <v>-32.643165645903487</v>
      </c>
      <c r="H20" s="4">
        <f t="shared" si="6"/>
        <v>-10.602226483515729</v>
      </c>
      <c r="I20" s="4">
        <f t="shared" si="7"/>
        <v>8.1334336350382053</v>
      </c>
      <c r="J20" s="4">
        <f t="shared" si="8"/>
        <v>19.819050371469213</v>
      </c>
      <c r="K20" s="4">
        <f t="shared" si="9"/>
        <v>23.265202282679191</v>
      </c>
      <c r="L20" s="4">
        <f t="shared" si="10"/>
        <v>19.421508362310604</v>
      </c>
      <c r="M20" s="4">
        <f t="shared" si="11"/>
        <v>10.777162994604634</v>
      </c>
    </row>
    <row r="21" spans="1:13">
      <c r="A21" s="4" cm="1">
        <f t="array" ref="A21">A20+Table4[Salto]</f>
        <v>-2.5416905388339548</v>
      </c>
      <c r="B21" s="4">
        <f t="shared" si="0"/>
        <v>-106.07507843808601</v>
      </c>
      <c r="C21" s="4">
        <f t="shared" si="1"/>
        <v>-76.343091520646482</v>
      </c>
      <c r="D21" s="4">
        <f t="shared" si="2"/>
        <v>-22.60166579884471</v>
      </c>
      <c r="E21" s="4">
        <f t="shared" si="3"/>
        <v>-51.781145556252234</v>
      </c>
      <c r="F21" s="4">
        <f t="shared" si="4"/>
        <v>-49.967075017859564</v>
      </c>
      <c r="G21" s="4">
        <f t="shared" si="5"/>
        <v>-28.902188871995207</v>
      </c>
      <c r="H21" s="4">
        <f t="shared" si="6"/>
        <v>-5.0810764482867858</v>
      </c>
      <c r="I21" s="4">
        <f t="shared" si="7"/>
        <v>13.557209126825557</v>
      </c>
      <c r="J21" s="4">
        <f t="shared" si="8"/>
        <v>23.257284301937705</v>
      </c>
      <c r="K21" s="4">
        <f t="shared" si="9"/>
        <v>23.499671932968528</v>
      </c>
      <c r="L21" s="4">
        <f t="shared" si="10"/>
        <v>16.324072157544052</v>
      </c>
      <c r="M21" s="4">
        <f t="shared" si="11"/>
        <v>5.3518226533161828</v>
      </c>
    </row>
    <row r="22" spans="1:13">
      <c r="A22" s="4" cm="1">
        <f t="array" ref="A22">A21+Table4[Salto]</f>
        <v>-2.5101167433204896</v>
      </c>
      <c r="B22" s="4">
        <f t="shared" si="0"/>
        <v>-99.648233227828598</v>
      </c>
      <c r="C22" s="4">
        <f t="shared" si="1"/>
        <v>-71.741570527577466</v>
      </c>
      <c r="D22" s="4">
        <f t="shared" si="2"/>
        <v>-23.633542681429311</v>
      </c>
      <c r="E22" s="4">
        <f t="shared" si="3"/>
        <v>-52.949082557276924</v>
      </c>
      <c r="F22" s="4">
        <f t="shared" si="4"/>
        <v>-48.641986301401516</v>
      </c>
      <c r="G22" s="4">
        <f t="shared" si="5"/>
        <v>-24.700820957616177</v>
      </c>
      <c r="H22" s="4">
        <f t="shared" si="6"/>
        <v>0.56644450917340627</v>
      </c>
      <c r="I22" s="4">
        <f t="shared" si="7"/>
        <v>18.495889235945466</v>
      </c>
      <c r="J22" s="4">
        <f t="shared" si="8"/>
        <v>25.564055990283432</v>
      </c>
      <c r="K22" s="4">
        <f t="shared" si="9"/>
        <v>22.242772757233411</v>
      </c>
      <c r="L22" s="4">
        <f t="shared" si="10"/>
        <v>11.917325225692471</v>
      </c>
      <c r="M22" s="4">
        <f t="shared" si="11"/>
        <v>-0.60262574818172077</v>
      </c>
    </row>
    <row r="23" spans="1:13">
      <c r="A23" s="4" cm="1">
        <f t="array" ref="A23">A22+Table4[Salto]</f>
        <v>-2.4785429478070244</v>
      </c>
      <c r="B23" s="4">
        <f t="shared" si="0"/>
        <v>-93.536743000297335</v>
      </c>
      <c r="C23" s="4">
        <f t="shared" si="1"/>
        <v>-70.303320220080138</v>
      </c>
      <c r="D23" s="4">
        <f t="shared" si="2"/>
        <v>-24.641861134694992</v>
      </c>
      <c r="E23" s="4">
        <f t="shared" si="3"/>
        <v>-53.905948983302579</v>
      </c>
      <c r="F23" s="4">
        <f t="shared" si="4"/>
        <v>-46.88080102832334</v>
      </c>
      <c r="G23" s="4">
        <f t="shared" si="5"/>
        <v>-20.105986680478036</v>
      </c>
      <c r="H23" s="4">
        <f t="shared" si="6"/>
        <v>6.1998774843436957</v>
      </c>
      <c r="I23" s="4">
        <f t="shared" si="7"/>
        <v>22.772761270648861</v>
      </c>
      <c r="J23" s="4">
        <f t="shared" si="8"/>
        <v>26.627141454003695</v>
      </c>
      <c r="K23" s="4">
        <f t="shared" si="9"/>
        <v>19.574271837052432</v>
      </c>
      <c r="L23" s="4">
        <f t="shared" si="10"/>
        <v>6.5547211029653907</v>
      </c>
      <c r="M23" s="4">
        <f t="shared" si="11"/>
        <v>-6.4974955422952476</v>
      </c>
    </row>
    <row r="24" spans="1:13">
      <c r="A24" s="4" cm="1">
        <f t="array" ref="A24">A23+Table4[Salto]</f>
        <v>-2.4469691522935593</v>
      </c>
      <c r="B24" s="4">
        <f t="shared" si="0"/>
        <v>-87.728857243523521</v>
      </c>
      <c r="C24" s="4">
        <f t="shared" si="1"/>
        <v>-71.275094201237721</v>
      </c>
      <c r="D24" s="4">
        <f t="shared" si="2"/>
        <v>-25.625616044878978</v>
      </c>
      <c r="E24" s="4">
        <f t="shared" si="3"/>
        <v>-54.64793048407072</v>
      </c>
      <c r="F24" s="4">
        <f t="shared" si="4"/>
        <v>-44.699308990357679</v>
      </c>
      <c r="G24" s="4">
        <f t="shared" si="5"/>
        <v>-15.190878455262416</v>
      </c>
      <c r="H24" s="4">
        <f t="shared" si="6"/>
        <v>11.679113953440648</v>
      </c>
      <c r="I24" s="4">
        <f t="shared" si="7"/>
        <v>26.234792932260813</v>
      </c>
      <c r="J24" s="4">
        <f t="shared" si="8"/>
        <v>26.394821797343781</v>
      </c>
      <c r="K24" s="4">
        <f t="shared" si="9"/>
        <v>15.663521284911566</v>
      </c>
      <c r="L24" s="4">
        <f t="shared" si="10"/>
        <v>0.66638010708941409</v>
      </c>
      <c r="M24" s="4">
        <f t="shared" si="11"/>
        <v>-11.749990301714149</v>
      </c>
    </row>
    <row r="25" spans="1:13">
      <c r="A25" s="4" cm="1">
        <f t="array" ref="A25">A24+Table4[Salto]</f>
        <v>-2.4153953567800941</v>
      </c>
      <c r="B25" s="4">
        <f t="shared" si="0"/>
        <v>-82.213121032220513</v>
      </c>
      <c r="C25" s="4">
        <f t="shared" si="1"/>
        <v>-73.759887901423227</v>
      </c>
      <c r="D25" s="4">
        <f t="shared" si="2"/>
        <v>-26.583826783692434</v>
      </c>
      <c r="E25" s="4">
        <f t="shared" si="3"/>
        <v>-55.172069303668636</v>
      </c>
      <c r="F25" s="4">
        <f t="shared" si="4"/>
        <v>-42.117068212132786</v>
      </c>
      <c r="G25" s="4">
        <f t="shared" si="5"/>
        <v>-10.033790430947652</v>
      </c>
      <c r="H25" s="4">
        <f t="shared" si="6"/>
        <v>16.867880397895711</v>
      </c>
      <c r="I25" s="4">
        <f t="shared" si="7"/>
        <v>28.758108018977158</v>
      </c>
      <c r="J25" s="4">
        <f t="shared" si="8"/>
        <v>24.878399325259021</v>
      </c>
      <c r="K25" s="4">
        <f t="shared" si="9"/>
        <v>10.758710585177111</v>
      </c>
      <c r="L25" s="4">
        <f t="shared" si="10"/>
        <v>-5.2754094777235965</v>
      </c>
      <c r="M25" s="4">
        <f t="shared" si="11"/>
        <v>-15.840822020567131</v>
      </c>
    </row>
    <row r="26" spans="1:13">
      <c r="A26" s="4" cm="1">
        <f t="array" ref="A26">A25+Table4[Salto]</f>
        <v>-2.3838215612666289</v>
      </c>
      <c r="B26" s="4">
        <f t="shared" si="0"/>
        <v>-76.978371262348205</v>
      </c>
      <c r="C26" s="4">
        <f t="shared" si="1"/>
        <v>-76.813228343735531</v>
      </c>
      <c r="D26" s="4">
        <f t="shared" si="2"/>
        <v>-27.515538185832082</v>
      </c>
      <c r="E26" s="4">
        <f t="shared" si="3"/>
        <v>-55.476276071012116</v>
      </c>
      <c r="F26" s="4">
        <f t="shared" si="4"/>
        <v>-39.157229604977992</v>
      </c>
      <c r="G26" s="4">
        <f t="shared" si="5"/>
        <v>-4.7168713211670905</v>
      </c>
      <c r="H26" s="4">
        <f t="shared" si="6"/>
        <v>21.637127548818345</v>
      </c>
      <c r="I26" s="4">
        <f t="shared" si="7"/>
        <v>30.252418884857608</v>
      </c>
      <c r="J26" s="4">
        <f t="shared" si="8"/>
        <v>22.151647688533249</v>
      </c>
      <c r="K26" s="4">
        <f t="shared" si="9"/>
        <v>5.1711156482532843</v>
      </c>
      <c r="L26" s="4">
        <f t="shared" si="10"/>
        <v>-10.794072397064463</v>
      </c>
      <c r="M26" s="4">
        <f t="shared" si="11"/>
        <v>-18.365550534144276</v>
      </c>
    </row>
    <row r="27" spans="1:13">
      <c r="A27" s="4" cm="1">
        <f t="array" ref="A27">A26+Table4[Salto]</f>
        <v>-2.3522477657531637</v>
      </c>
      <c r="B27" s="4">
        <f t="shared" si="0"/>
        <v>-72.013732885677612</v>
      </c>
      <c r="C27" s="4">
        <f t="shared" si="1"/>
        <v>-79.536780637177685</v>
      </c>
      <c r="D27" s="4">
        <f t="shared" si="2"/>
        <v>-28.419821501109727</v>
      </c>
      <c r="E27" s="4">
        <f t="shared" si="3"/>
        <v>-55.559338128691408</v>
      </c>
      <c r="F27" s="4">
        <f t="shared" si="4"/>
        <v>-35.846329408937741</v>
      </c>
      <c r="G27" s="4">
        <f t="shared" si="5"/>
        <v>0.67518416588315389</v>
      </c>
      <c r="H27" s="4">
        <f t="shared" si="6"/>
        <v>25.868239957898499</v>
      </c>
      <c r="I27" s="4">
        <f t="shared" si="7"/>
        <v>30.664257054604068</v>
      </c>
      <c r="J27" s="4">
        <f t="shared" si="8"/>
        <v>18.347222810383787</v>
      </c>
      <c r="K27" s="4">
        <f t="shared" si="9"/>
        <v>-0.74465581366928713</v>
      </c>
      <c r="L27" s="4">
        <f t="shared" si="10"/>
        <v>-15.446971269174163</v>
      </c>
      <c r="M27" s="4">
        <f t="shared" si="11"/>
        <v>-19.074568504364848</v>
      </c>
    </row>
    <row r="28" spans="1:13">
      <c r="A28" s="4" cm="1">
        <f t="array" ref="A28">A27+Table4[Salto]</f>
        <v>-2.3206739702396986</v>
      </c>
      <c r="B28" s="4">
        <f t="shared" si="0"/>
        <v>-67.308615144355457</v>
      </c>
      <c r="C28" s="4">
        <f t="shared" si="1"/>
        <v>-81.161041956285118</v>
      </c>
      <c r="D28" s="4">
        <f t="shared" si="2"/>
        <v>-29.295775320250669</v>
      </c>
      <c r="E28" s="4">
        <f t="shared" si="3"/>
        <v>-55.420924366979435</v>
      </c>
      <c r="F28" s="4">
        <f t="shared" si="4"/>
        <v>-32.214051283841663</v>
      </c>
      <c r="G28" s="4">
        <f t="shared" si="5"/>
        <v>6.0564844534038595</v>
      </c>
      <c r="H28" s="4">
        <f t="shared" si="6"/>
        <v>29.45598606984634</v>
      </c>
      <c r="I28" s="4">
        <f t="shared" si="7"/>
        <v>29.978886398333081</v>
      </c>
      <c r="J28" s="4">
        <f t="shared" si="8"/>
        <v>13.650209202258013</v>
      </c>
      <c r="K28" s="4">
        <f t="shared" si="9"/>
        <v>-6.6131688938666997</v>
      </c>
      <c r="L28" s="4">
        <f t="shared" si="10"/>
        <v>-18.860909360633446</v>
      </c>
      <c r="M28" s="4">
        <f t="shared" si="11"/>
        <v>-17.897778854554481</v>
      </c>
    </row>
    <row r="29" spans="1:13">
      <c r="A29" s="4" cm="1">
        <f t="array" ref="A29">A28+Table4[Salto]</f>
        <v>-2.2891001747262334</v>
      </c>
      <c r="B29" s="4">
        <f t="shared" si="0"/>
        <v>-62.852707805468704</v>
      </c>
      <c r="C29" s="4">
        <f t="shared" si="1"/>
        <v>-81.110258929404665</v>
      </c>
      <c r="D29" s="4">
        <f t="shared" si="2"/>
        <v>-30.142526473438043</v>
      </c>
      <c r="E29" s="4">
        <f t="shared" si="3"/>
        <v>-55.061586543732254</v>
      </c>
      <c r="F29" s="4">
        <f t="shared" si="4"/>
        <v>-28.292960182387706</v>
      </c>
      <c r="G29" s="4">
        <f t="shared" si="5"/>
        <v>11.341309287210823</v>
      </c>
      <c r="H29" s="4">
        <f t="shared" si="6"/>
        <v>32.311135425424951</v>
      </c>
      <c r="I29" s="4">
        <f t="shared" si="7"/>
        <v>28.220830410346661</v>
      </c>
      <c r="J29" s="4">
        <f t="shared" si="8"/>
        <v>8.2891156392708147</v>
      </c>
      <c r="K29" s="4">
        <f t="shared" si="9"/>
        <v>-12.061987862687573</v>
      </c>
      <c r="L29" s="4">
        <f t="shared" si="10"/>
        <v>-20.762063710994013</v>
      </c>
      <c r="M29" s="4">
        <f t="shared" si="11"/>
        <v>-14.951524918418333</v>
      </c>
    </row>
    <row r="30" spans="1:13">
      <c r="A30" s="4" cm="1">
        <f t="array" ref="A30">A29+Table4[Salto]</f>
        <v>-2.2575263792127682</v>
      </c>
      <c r="B30" s="4">
        <f t="shared" si="0"/>
        <v>-58.635977395609153</v>
      </c>
      <c r="C30" s="4">
        <f t="shared" si="1"/>
        <v>-79.044640401544655</v>
      </c>
      <c r="D30" s="4">
        <f t="shared" si="2"/>
        <v>-30.959230900707507</v>
      </c>
      <c r="E30" s="4">
        <f t="shared" si="3"/>
        <v>-54.482757084920408</v>
      </c>
      <c r="F30" s="4">
        <f t="shared" si="4"/>
        <v>-24.118210391182092</v>
      </c>
      <c r="G30" s="4">
        <f t="shared" si="5"/>
        <v>16.445475197906614</v>
      </c>
      <c r="H30" s="4">
        <f t="shared" si="6"/>
        <v>34.362677902892393</v>
      </c>
      <c r="I30" s="4">
        <f t="shared" si="7"/>
        <v>25.452994725150013</v>
      </c>
      <c r="J30" s="4">
        <f t="shared" si="8"/>
        <v>2.524758253875774</v>
      </c>
      <c r="K30" s="4">
        <f t="shared" si="9"/>
        <v>-16.745312201217022</v>
      </c>
      <c r="L30" s="4">
        <f t="shared" si="10"/>
        <v>-20.997947749457296</v>
      </c>
      <c r="M30" s="4">
        <f t="shared" si="11"/>
        <v>-10.527088153885135</v>
      </c>
    </row>
    <row r="31" spans="1:13">
      <c r="A31" s="4" cm="1">
        <f t="array" ref="A31">A30+Table4[Salto]</f>
        <v>-2.225952583699303</v>
      </c>
      <c r="B31" s="4">
        <f t="shared" si="0"/>
        <v>-54.648663435437911</v>
      </c>
      <c r="C31" s="4">
        <f t="shared" si="1"/>
        <v>-74.877248497208384</v>
      </c>
      <c r="D31" s="4">
        <f t="shared" si="2"/>
        <v>-31.745074493324548</v>
      </c>
      <c r="E31" s="4">
        <f t="shared" si="3"/>
        <v>-53.686743374558837</v>
      </c>
      <c r="F31" s="4">
        <f t="shared" si="4"/>
        <v>-19.727230357274998</v>
      </c>
      <c r="G31" s="4">
        <f t="shared" si="5"/>
        <v>21.287676483172802</v>
      </c>
      <c r="H31" s="4">
        <f t="shared" si="6"/>
        <v>35.559589803331185</v>
      </c>
      <c r="I31" s="4">
        <f t="shared" si="7"/>
        <v>21.774416268286664</v>
      </c>
      <c r="J31" s="4">
        <f t="shared" si="8"/>
        <v>-3.3624281169528882</v>
      </c>
      <c r="K31" s="4">
        <f t="shared" si="9"/>
        <v>-20.365922274195139</v>
      </c>
      <c r="L31" s="4">
        <f t="shared" si="10"/>
        <v>-19.549641840106023</v>
      </c>
      <c r="M31" s="4">
        <f t="shared" si="11"/>
        <v>-5.0618905955866058</v>
      </c>
    </row>
    <row r="32" spans="1:13">
      <c r="A32" s="4" cm="1">
        <f t="array" ref="A32">A31+Table4[Salto]</f>
        <v>-2.1943787881858379</v>
      </c>
      <c r="B32" s="4">
        <f t="shared" si="0"/>
        <v>-50.881274674250072</v>
      </c>
      <c r="C32" s="4">
        <f t="shared" si="1"/>
        <v>-68.765411620565004</v>
      </c>
      <c r="D32" s="4">
        <f t="shared" si="2"/>
        <v>-32.499273905305799</v>
      </c>
      <c r="E32" s="4">
        <f t="shared" si="3"/>
        <v>-52.676718556797326</v>
      </c>
      <c r="F32" s="4">
        <f t="shared" si="4"/>
        <v>-15.159387125858855</v>
      </c>
      <c r="G32" s="4">
        <f t="shared" si="5"/>
        <v>25.790780349296579</v>
      </c>
      <c r="H32" s="4">
        <f t="shared" si="6"/>
        <v>35.872102855740586</v>
      </c>
      <c r="I32" s="4">
        <f t="shared" si="7"/>
        <v>17.316719580435429</v>
      </c>
      <c r="J32" s="4">
        <f t="shared" si="8"/>
        <v>-9.0860330306004879</v>
      </c>
      <c r="K32" s="4">
        <f t="shared" si="9"/>
        <v>-22.694041895408262</v>
      </c>
      <c r="L32" s="4">
        <f t="shared" si="10"/>
        <v>-16.533310775947296</v>
      </c>
      <c r="M32" s="4">
        <f t="shared" si="11"/>
        <v>0.90375088388042013</v>
      </c>
    </row>
    <row r="33" spans="1:13">
      <c r="A33" s="4" cm="1">
        <f t="array" ref="A33">A32+Table4[Salto]</f>
        <v>-2.1628049926723727</v>
      </c>
      <c r="B33" s="4">
        <f t="shared" si="0"/>
        <v>-47.324585324539228</v>
      </c>
      <c r="C33" s="4">
        <f t="shared" si="1"/>
        <v>-61.078880792020747</v>
      </c>
      <c r="D33" s="4">
        <f t="shared" si="2"/>
        <v>-33.221077334275321</v>
      </c>
      <c r="E33" s="4">
        <f t="shared" si="3"/>
        <v>-51.456708886837127</v>
      </c>
      <c r="F33" s="4">
        <f t="shared" si="4"/>
        <v>-10.455633397591393</v>
      </c>
      <c r="G33" s="4">
        <f t="shared" si="5"/>
        <v>29.883055581255952</v>
      </c>
      <c r="H33" s="4">
        <f t="shared" si="6"/>
        <v>35.292444580598932</v>
      </c>
      <c r="I33" s="4">
        <f t="shared" si="7"/>
        <v>12.239407112313071</v>
      </c>
      <c r="J33" s="4">
        <f t="shared" si="8"/>
        <v>-14.367604249714487</v>
      </c>
      <c r="K33" s="4">
        <f t="shared" si="9"/>
        <v>-23.581920703224238</v>
      </c>
      <c r="L33" s="4">
        <f t="shared" si="10"/>
        <v>-12.190886507577071</v>
      </c>
      <c r="M33" s="4">
        <f t="shared" si="11"/>
        <v>6.7800430130309426</v>
      </c>
    </row>
    <row r="34" spans="1:13">
      <c r="A34" s="4" cm="1">
        <f t="array" ref="A34">A33+Table4[Salto]</f>
        <v>-2.1312311971589075</v>
      </c>
      <c r="B34" s="4">
        <f t="shared" ref="B34:B65" si="12">A34^5</f>
        <v>-43.969631296561964</v>
      </c>
      <c r="C34" s="4">
        <f t="shared" ref="C34:C65" si="13">SUM(D34:M34)</f>
        <v>-52.349027205552851</v>
      </c>
      <c r="D34" s="4">
        <f t="shared" ref="D34:D65" si="14">$P$2*SIN($O$2*$A34)</f>
        <v>-33.9097652708776</v>
      </c>
      <c r="E34" s="4">
        <f t="shared" ref="E34:E65" si="15">$P$3*SIN($O$3*$A34)</f>
        <v>-50.031577681096699</v>
      </c>
      <c r="F34" s="4">
        <f t="shared" ref="F34:F65" si="16">$P$4*SIN($O$4*$A34)</f>
        <v>-5.6581403698282084</v>
      </c>
      <c r="G34" s="4">
        <f t="shared" ref="G34:G65" si="17">$P$5*SIN($O$5*$A34)</f>
        <v>33.499315169530433</v>
      </c>
      <c r="H34" s="4">
        <f t="shared" ref="H34:H65" si="18">$P$6*SIN($O$6*$A34)</f>
        <v>33.83503159839092</v>
      </c>
      <c r="I34" s="4">
        <f t="shared" ref="I34:I65" si="19">$P$7*SIN($O$7*$A34)</f>
        <v>6.7241520100372512</v>
      </c>
      <c r="J34" s="4">
        <f t="shared" ref="J34:J65" si="20">$P$8*SIN($O$8*$A34)</f>
        <v>-18.950194388008128</v>
      </c>
      <c r="K34" s="4">
        <f t="shared" ref="K34:K65" si="21">$P$9*SIN($O$9*$A34)</f>
        <v>-22.973210899297559</v>
      </c>
      <c r="L34" s="4">
        <f t="shared" ref="L34:L65" si="22">$P$10*SIN($O$10*$A34)</f>
        <v>-6.8706634201988699</v>
      </c>
      <c r="M34" s="4">
        <f t="shared" ref="M34:M65" si="23">$P$11*SIN($O$11*$A34)</f>
        <v>11.98602604579559</v>
      </c>
    </row>
    <row r="35" spans="1:13">
      <c r="A35" s="4" cm="1">
        <f t="array" ref="A35">A34+Table4[Salto]</f>
        <v>-2.0996574016454423</v>
      </c>
      <c r="B35" s="4">
        <f t="shared" si="12"/>
        <v>-40.807706432902542</v>
      </c>
      <c r="C35" s="4">
        <f t="shared" si="13"/>
        <v>-43.204970251124877</v>
      </c>
      <c r="D35" s="4">
        <f t="shared" si="14"/>
        <v>-34.564651216000073</v>
      </c>
      <c r="E35" s="4">
        <f t="shared" si="15"/>
        <v>-48.407005930605855</v>
      </c>
      <c r="F35" s="4">
        <f t="shared" si="16"/>
        <v>-0.80991965350259432</v>
      </c>
      <c r="G35" s="4">
        <f t="shared" si="17"/>
        <v>36.581954692411415</v>
      </c>
      <c r="H35" s="4">
        <f t="shared" si="18"/>
        <v>31.536111075343619</v>
      </c>
      <c r="I35" s="4">
        <f t="shared" si="19"/>
        <v>0.96829760285219513</v>
      </c>
      <c r="J35" s="4">
        <f t="shared" si="20"/>
        <v>-22.610861349349769</v>
      </c>
      <c r="K35" s="4">
        <f t="shared" si="21"/>
        <v>-20.9065432708265</v>
      </c>
      <c r="L35" s="4">
        <f t="shared" si="22"/>
        <v>-0.99936256059336859</v>
      </c>
      <c r="M35" s="4">
        <f t="shared" si="23"/>
        <v>16.007010359146047</v>
      </c>
    </row>
    <row r="36" spans="1:13">
      <c r="A36" s="4" cm="1">
        <f t="array" ref="A36">A35+Table4[Salto]</f>
        <v>-2.0680836061319772</v>
      </c>
      <c r="B36" s="4">
        <f t="shared" si="12"/>
        <v>-37.830358743037351</v>
      </c>
      <c r="C36" s="4">
        <f t="shared" si="13"/>
        <v>-34.30349852905254</v>
      </c>
      <c r="D36" s="4">
        <f t="shared" si="14"/>
        <v>-35.185082365090416</v>
      </c>
      <c r="E36" s="4">
        <f t="shared" si="15"/>
        <v>-46.589469654909074</v>
      </c>
      <c r="F36" s="4">
        <f t="shared" si="16"/>
        <v>4.045562344667899</v>
      </c>
      <c r="G36" s="4">
        <f t="shared" si="17"/>
        <v>39.081869913126901</v>
      </c>
      <c r="H36" s="4">
        <f t="shared" si="18"/>
        <v>28.452859223936962</v>
      </c>
      <c r="I36" s="4">
        <f t="shared" si="19"/>
        <v>-4.8222038096122475</v>
      </c>
      <c r="J36" s="4">
        <f t="shared" si="20"/>
        <v>-25.171514416269041</v>
      </c>
      <c r="K36" s="4">
        <f t="shared" si="21"/>
        <v>-17.513075549869921</v>
      </c>
      <c r="L36" s="4">
        <f t="shared" si="22"/>
        <v>4.9520945313665807</v>
      </c>
      <c r="M36" s="4">
        <f t="shared" si="23"/>
        <v>18.445461253599809</v>
      </c>
    </row>
    <row r="37" spans="1:13">
      <c r="A37" s="4" cm="1">
        <f t="array" ref="A37">A36+Table4[Salto]</f>
        <v>-2.036509810618512</v>
      </c>
      <c r="B37" s="4">
        <f t="shared" si="12"/>
        <v>-35.029386637899513</v>
      </c>
      <c r="C37" s="4">
        <f t="shared" si="13"/>
        <v>-26.259930785785915</v>
      </c>
      <c r="D37" s="4">
        <f t="shared" si="14"/>
        <v>-35.770440258886289</v>
      </c>
      <c r="E37" s="4">
        <f t="shared" si="15"/>
        <v>-44.586214086751951</v>
      </c>
      <c r="F37" s="4">
        <f t="shared" si="16"/>
        <v>8.8647741174168857</v>
      </c>
      <c r="G37" s="4">
        <f t="shared" si="17"/>
        <v>40.959238975116392</v>
      </c>
      <c r="H37" s="4">
        <f t="shared" si="18"/>
        <v>24.661959279288332</v>
      </c>
      <c r="I37" s="4">
        <f t="shared" si="19"/>
        <v>-10.440160210751621</v>
      </c>
      <c r="J37" s="4">
        <f t="shared" si="20"/>
        <v>-26.507578327837745</v>
      </c>
      <c r="K37" s="4">
        <f t="shared" si="21"/>
        <v>-13.008168699150666</v>
      </c>
      <c r="L37" s="4">
        <f t="shared" si="22"/>
        <v>10.506357196048794</v>
      </c>
      <c r="M37" s="4">
        <f t="shared" si="23"/>
        <v>19.060301229721961</v>
      </c>
    </row>
    <row r="38" spans="1:13">
      <c r="A38" s="4" cm="1">
        <f t="array" ref="A38">A37+Table4[Salto]</f>
        <v>-2.0049360151050468</v>
      </c>
      <c r="B38" s="4">
        <f t="shared" si="12"/>
        <v>-32.396835164443495</v>
      </c>
      <c r="C38" s="4">
        <f t="shared" si="13"/>
        <v>-19.586655686031996</v>
      </c>
      <c r="D38" s="4">
        <f t="shared" si="14"/>
        <v>-36.320141399909012</v>
      </c>
      <c r="E38" s="4">
        <f t="shared" si="15"/>
        <v>-42.405224790458156</v>
      </c>
      <c r="F38" s="4">
        <f t="shared" si="16"/>
        <v>13.604509335819095</v>
      </c>
      <c r="G38" s="4">
        <f t="shared" si="17"/>
        <v>42.184156735646162</v>
      </c>
      <c r="H38" s="4">
        <f t="shared" si="18"/>
        <v>20.257694318412611</v>
      </c>
      <c r="I38" s="4">
        <f t="shared" si="19"/>
        <v>-15.684553479157231</v>
      </c>
      <c r="J38" s="4">
        <f t="shared" si="20"/>
        <v>-26.554053841264821</v>
      </c>
      <c r="K38" s="4">
        <f t="shared" si="21"/>
        <v>-7.6777193754591222</v>
      </c>
      <c r="L38" s="4">
        <f t="shared" si="22"/>
        <v>15.217932690114917</v>
      </c>
      <c r="M38" s="4">
        <f t="shared" si="23"/>
        <v>17.790744120223543</v>
      </c>
    </row>
    <row r="39" spans="1:13">
      <c r="A39" s="4" cm="1">
        <f t="array" ref="A39">A38+Table4[Salto]</f>
        <v>-1.9733622195915816</v>
      </c>
      <c r="B39" s="4">
        <f t="shared" si="12"/>
        <v>-29.924992240209566</v>
      </c>
      <c r="C39" s="4">
        <f t="shared" si="13"/>
        <v>-14.645051243942296</v>
      </c>
      <c r="D39" s="4">
        <f t="shared" si="14"/>
        <v>-36.83363783410649</v>
      </c>
      <c r="E39" s="4">
        <f t="shared" si="15"/>
        <v>-40.055195829127619</v>
      </c>
      <c r="F39" s="4">
        <f t="shared" si="16"/>
        <v>18.222274212815119</v>
      </c>
      <c r="G39" s="4">
        <f t="shared" si="17"/>
        <v>42.737111133285481</v>
      </c>
      <c r="H39" s="4">
        <f t="shared" si="18"/>
        <v>15.349602355650129</v>
      </c>
      <c r="I39" s="4">
        <f t="shared" si="19"/>
        <v>-20.367732090418873</v>
      </c>
      <c r="J39" s="4">
        <f t="shared" si="20"/>
        <v>-25.30867993209257</v>
      </c>
      <c r="K39" s="4">
        <f t="shared" si="21"/>
        <v>-1.860015958851515</v>
      </c>
      <c r="L39" s="4">
        <f t="shared" si="22"/>
        <v>18.708917983223266</v>
      </c>
      <c r="M39" s="4">
        <f t="shared" si="23"/>
        <v>14.762304715680765</v>
      </c>
    </row>
    <row r="40" spans="1:13">
      <c r="A40" s="4" cm="1">
        <f t="array" ref="A40">A39+Table4[Salto]</f>
        <v>-1.9417884240781165</v>
      </c>
      <c r="B40" s="4">
        <f t="shared" si="12"/>
        <v>-27.60638488788841</v>
      </c>
      <c r="C40" s="4">
        <f t="shared" si="13"/>
        <v>-11.614937148540854</v>
      </c>
      <c r="D40" s="4">
        <f t="shared" si="14"/>
        <v>-37.310417697065773</v>
      </c>
      <c r="E40" s="4">
        <f t="shared" si="15"/>
        <v>-37.545495107550657</v>
      </c>
      <c r="F40" s="4">
        <f t="shared" si="16"/>
        <v>22.67666847848869</v>
      </c>
      <c r="G40" s="4">
        <f t="shared" si="17"/>
        <v>42.609294001051389</v>
      </c>
      <c r="H40" s="4">
        <f t="shared" si="18"/>
        <v>10.059752034140303</v>
      </c>
      <c r="I40" s="4">
        <f t="shared" si="19"/>
        <v>-24.322125543906328</v>
      </c>
      <c r="J40" s="4">
        <f t="shared" si="20"/>
        <v>-22.832043792585587</v>
      </c>
      <c r="K40" s="4">
        <f t="shared" si="21"/>
        <v>4.0757303744764499</v>
      </c>
      <c r="L40" s="4">
        <f t="shared" si="22"/>
        <v>20.699310362310047</v>
      </c>
      <c r="M40" s="4">
        <f t="shared" si="23"/>
        <v>10.274389742100599</v>
      </c>
    </row>
    <row r="41" spans="1:13">
      <c r="A41" s="4" cm="1">
        <f t="array" ref="A41">A40+Table4[Salto]</f>
        <v>-1.9102146285646513</v>
      </c>
      <c r="B41" s="4">
        <f t="shared" si="12"/>
        <v>-25.433775469885727</v>
      </c>
      <c r="C41" s="4">
        <f t="shared" si="13"/>
        <v>-10.48382193507701</v>
      </c>
      <c r="D41" s="4">
        <f t="shared" si="14"/>
        <v>-37.75000572425062</v>
      </c>
      <c r="E41" s="4">
        <f t="shared" si="15"/>
        <v>-34.886127028991609</v>
      </c>
      <c r="F41" s="4">
        <f t="shared" si="16"/>
        <v>26.927756551487317</v>
      </c>
      <c r="G41" s="4">
        <f t="shared" si="17"/>
        <v>41.80274137419164</v>
      </c>
      <c r="H41" s="4">
        <f t="shared" si="18"/>
        <v>4.5197066693338996</v>
      </c>
      <c r="I41" s="4">
        <f t="shared" si="19"/>
        <v>-27.406240263206378</v>
      </c>
      <c r="J41" s="4">
        <f t="shared" si="20"/>
        <v>-19.244633276912406</v>
      </c>
      <c r="K41" s="4">
        <f t="shared" si="21"/>
        <v>9.7528170447625868</v>
      </c>
      <c r="L41" s="4">
        <f t="shared" si="22"/>
        <v>21.029465709908958</v>
      </c>
      <c r="M41" s="4">
        <f t="shared" si="23"/>
        <v>4.7706970085996012</v>
      </c>
    </row>
    <row r="42" spans="1:13">
      <c r="A42" s="4" cm="1">
        <f t="array" ref="A42">A41+Table4[Salto]</f>
        <v>-1.8786408330511861</v>
      </c>
      <c r="B42" s="4">
        <f t="shared" si="12"/>
        <v>-23.400157922886702</v>
      </c>
      <c r="C42" s="4">
        <f t="shared" si="13"/>
        <v>-11.056165928795574</v>
      </c>
      <c r="D42" s="4">
        <f t="shared" si="14"/>
        <v>-38.151963724755539</v>
      </c>
      <c r="E42" s="4">
        <f t="shared" si="15"/>
        <v>-32.087692614702696</v>
      </c>
      <c r="F42" s="4">
        <f t="shared" si="16"/>
        <v>30.937425578872915</v>
      </c>
      <c r="G42" s="4">
        <f t="shared" si="17"/>
        <v>40.330301057603464</v>
      </c>
      <c r="H42" s="4">
        <f t="shared" si="18"/>
        <v>-1.1327478484997739</v>
      </c>
      <c r="I42" s="4">
        <f t="shared" si="19"/>
        <v>-29.509722428742041</v>
      </c>
      <c r="J42" s="4">
        <f t="shared" si="20"/>
        <v>-14.720975191074206</v>
      </c>
      <c r="K42" s="4">
        <f t="shared" si="21"/>
        <v>14.810956891111447</v>
      </c>
      <c r="L42" s="4">
        <f t="shared" si="22"/>
        <v>19.672903137302793</v>
      </c>
      <c r="M42" s="4">
        <f t="shared" si="23"/>
        <v>-1.204650785911936</v>
      </c>
    </row>
    <row r="43" spans="1:13">
      <c r="A43" s="4" cm="1">
        <f t="array" ref="A43">A42+Table4[Salto]</f>
        <v>-1.8470670375377209</v>
      </c>
      <c r="B43" s="4">
        <f t="shared" si="12"/>
        <v>-21.498753992420657</v>
      </c>
      <c r="C43" s="4">
        <f t="shared" si="13"/>
        <v>-12.980892850634991</v>
      </c>
      <c r="D43" s="4">
        <f t="shared" si="14"/>
        <v>-38.515891018103964</v>
      </c>
      <c r="E43" s="4">
        <f t="shared" si="15"/>
        <v>-29.161347245143663</v>
      </c>
      <c r="F43" s="4">
        <f t="shared" si="16"/>
        <v>34.669727134419695</v>
      </c>
      <c r="G43" s="4">
        <f t="shared" si="17"/>
        <v>38.215427969515744</v>
      </c>
      <c r="H43" s="4">
        <f t="shared" si="18"/>
        <v>-6.7570299127741791</v>
      </c>
      <c r="I43" s="4">
        <f t="shared" si="19"/>
        <v>-30.557306587536988</v>
      </c>
      <c r="J43" s="4">
        <f t="shared" si="20"/>
        <v>-9.4811445986059475</v>
      </c>
      <c r="K43" s="4">
        <f t="shared" si="21"/>
        <v>18.929143215811067</v>
      </c>
      <c r="L43" s="4">
        <f t="shared" si="22"/>
        <v>16.73842894668951</v>
      </c>
      <c r="M43" s="4">
        <f t="shared" si="23"/>
        <v>-7.0609007549062595</v>
      </c>
    </row>
    <row r="44" spans="1:13">
      <c r="A44" s="4" cm="1">
        <f t="array" ref="A44">A43+Table4[Salto]</f>
        <v>-1.8154932420242558</v>
      </c>
      <c r="B44" s="4">
        <f t="shared" si="12"/>
        <v>-19.723009467425534</v>
      </c>
      <c r="C44" s="4">
        <f t="shared" si="13"/>
        <v>-15.793639647467097</v>
      </c>
      <c r="D44" s="4">
        <f t="shared" si="14"/>
        <v>-38.841424833655338</v>
      </c>
      <c r="E44" s="4">
        <f t="shared" si="15"/>
        <v>-26.11875619136298</v>
      </c>
      <c r="F44" s="4">
        <f t="shared" si="16"/>
        <v>38.091199511885705</v>
      </c>
      <c r="G44" s="4">
        <f t="shared" si="17"/>
        <v>35.491810521463279</v>
      </c>
      <c r="H44" s="4">
        <f t="shared" si="18"/>
        <v>-12.213258591055988</v>
      </c>
      <c r="I44" s="4">
        <f t="shared" si="19"/>
        <v>-30.511508753496965</v>
      </c>
      <c r="J44" s="4">
        <f t="shared" si="20"/>
        <v>-3.7800582126340929</v>
      </c>
      <c r="K44" s="4">
        <f t="shared" si="21"/>
        <v>21.84602195732662</v>
      </c>
      <c r="L44" s="4">
        <f t="shared" si="22"/>
        <v>12.461409564965818</v>
      </c>
      <c r="M44" s="4">
        <f t="shared" si="23"/>
        <v>-12.219074620903157</v>
      </c>
    </row>
    <row r="45" spans="1:13">
      <c r="A45" s="4" cm="1">
        <f t="array" ref="A45">A44+Table4[Salto]</f>
        <v>-1.7839194465107906</v>
      </c>
      <c r="B45" s="4">
        <f t="shared" si="12"/>
        <v>-18.066590414812524</v>
      </c>
      <c r="C45" s="4">
        <f t="shared" si="13"/>
        <v>-18.968897935675816</v>
      </c>
      <c r="D45" s="4">
        <f t="shared" si="14"/>
        <v>-39.128240672222717</v>
      </c>
      <c r="E45" s="4">
        <f t="shared" si="15"/>
        <v>-22.972048113805595</v>
      </c>
      <c r="F45" s="4">
        <f t="shared" si="16"/>
        <v>41.171167723758359</v>
      </c>
      <c r="G45" s="4">
        <f t="shared" si="17"/>
        <v>32.202833986051822</v>
      </c>
      <c r="H45" s="4">
        <f t="shared" si="18"/>
        <v>-17.365732589141764</v>
      </c>
      <c r="I45" s="4">
        <f t="shared" si="19"/>
        <v>-29.373967635416779</v>
      </c>
      <c r="J45" s="4">
        <f t="shared" si="20"/>
        <v>2.1049272513683035</v>
      </c>
      <c r="K45" s="4">
        <f t="shared" si="21"/>
        <v>23.376478104827392</v>
      </c>
      <c r="L45" s="4">
        <f t="shared" si="22"/>
        <v>7.184893424066737</v>
      </c>
      <c r="M45" s="4">
        <f t="shared" si="23"/>
        <v>-16.169209415161571</v>
      </c>
    </row>
    <row r="46" spans="1:13">
      <c r="A46" s="4" cm="1">
        <f t="array" ref="A46">A45+Table4[Salto]</f>
        <v>-1.7523456509973254</v>
      </c>
      <c r="B46" s="4">
        <f t="shared" si="12"/>
        <v>-16.523379414030572</v>
      </c>
      <c r="C46" s="4">
        <f t="shared" si="13"/>
        <v>-21.97638956923867</v>
      </c>
      <c r="D46" s="4">
        <f t="shared" si="14"/>
        <v>-39.376052629540638</v>
      </c>
      <c r="E46" s="4">
        <f t="shared" si="15"/>
        <v>-19.733766713914598</v>
      </c>
      <c r="F46" s="4">
        <f t="shared" si="16"/>
        <v>43.882018515854888</v>
      </c>
      <c r="G46" s="4">
        <f t="shared" si="17"/>
        <v>28.400889400680864</v>
      </c>
      <c r="H46" s="4">
        <f t="shared" si="18"/>
        <v>-22.08630526378801</v>
      </c>
      <c r="I46" s="4">
        <f t="shared" si="19"/>
        <v>-27.185386001750658</v>
      </c>
      <c r="J46" s="4">
        <f t="shared" si="20"/>
        <v>7.8875084244647748</v>
      </c>
      <c r="K46" s="4">
        <f t="shared" si="21"/>
        <v>23.423383724166442</v>
      </c>
      <c r="L46" s="4">
        <f t="shared" si="22"/>
        <v>1.3320959519959386</v>
      </c>
      <c r="M46" s="4">
        <f t="shared" si="23"/>
        <v>-18.520774977407676</v>
      </c>
    </row>
    <row r="47" spans="1:13">
      <c r="A47" s="4" cm="1">
        <f t="array" ref="A47">A46+Table4[Salto]</f>
        <v>-1.7207718554838602</v>
      </c>
      <c r="B47" s="4">
        <f t="shared" si="12"/>
        <v>-15.087471791630971</v>
      </c>
      <c r="C47" s="4">
        <f t="shared" si="13"/>
        <v>-24.335796725014884</v>
      </c>
      <c r="D47" s="4">
        <f t="shared" si="14"/>
        <v>-39.584613681260727</v>
      </c>
      <c r="E47" s="4">
        <f t="shared" si="15"/>
        <v>-16.416820731257751</v>
      </c>
      <c r="F47" s="4">
        <f t="shared" si="16"/>
        <v>46.199447932152196</v>
      </c>
      <c r="G47" s="4">
        <f t="shared" si="17"/>
        <v>24.146539015891971</v>
      </c>
      <c r="H47" s="4">
        <f t="shared" si="18"/>
        <v>-26.257571744505956</v>
      </c>
      <c r="I47" s="4">
        <f t="shared" si="19"/>
        <v>-24.024074280194348</v>
      </c>
      <c r="J47" s="4">
        <f t="shared" si="20"/>
        <v>13.286363886044544</v>
      </c>
      <c r="K47" s="4">
        <f t="shared" si="21"/>
        <v>21.983762025767849</v>
      </c>
      <c r="L47" s="4">
        <f t="shared" si="22"/>
        <v>-4.6275454192332424</v>
      </c>
      <c r="M47" s="4">
        <f t="shared" si="23"/>
        <v>-19.041283728419419</v>
      </c>
    </row>
    <row r="48" spans="1:13">
      <c r="A48" s="4" cm="1">
        <f t="array" ref="A48">A47+Table4[Salto]</f>
        <v>-1.6891980599703951</v>
      </c>
      <c r="B48" s="4">
        <f t="shared" si="12"/>
        <v>-13.753171855831901</v>
      </c>
      <c r="C48" s="4">
        <f t="shared" si="13"/>
        <v>-25.664337497572745</v>
      </c>
      <c r="D48" s="4">
        <f t="shared" si="14"/>
        <v>-39.753715929190911</v>
      </c>
      <c r="E48" s="4">
        <f t="shared" si="15"/>
        <v>-13.034432485504949</v>
      </c>
      <c r="F48" s="4">
        <f t="shared" si="16"/>
        <v>48.102679210319955</v>
      </c>
      <c r="G48" s="4">
        <f t="shared" si="17"/>
        <v>19.507551582152104</v>
      </c>
      <c r="H48" s="4">
        <f t="shared" si="18"/>
        <v>-29.775788897846297</v>
      </c>
      <c r="I48" s="4">
        <f t="shared" si="19"/>
        <v>-20.003148504066669</v>
      </c>
      <c r="J48" s="4">
        <f t="shared" si="20"/>
        <v>18.038840394819772</v>
      </c>
      <c r="K48" s="4">
        <f t="shared" si="21"/>
        <v>19.14897628178214</v>
      </c>
      <c r="L48" s="4">
        <f t="shared" si="22"/>
        <v>-10.216023590557393</v>
      </c>
      <c r="M48" s="4">
        <f t="shared" si="23"/>
        <v>-17.679275559480494</v>
      </c>
    </row>
    <row r="49" spans="1:13">
      <c r="A49" s="4" cm="1">
        <f t="array" ref="A49">A48+Table4[Salto]</f>
        <v>-1.6576242644569299</v>
      </c>
      <c r="B49" s="4">
        <f t="shared" si="12"/>
        <v>-12.514989131083016</v>
      </c>
      <c r="C49" s="4">
        <f t="shared" si="13"/>
        <v>-25.712586859555458</v>
      </c>
      <c r="D49" s="4">
        <f t="shared" si="14"/>
        <v>-39.883190808532888</v>
      </c>
      <c r="E49" s="4">
        <f t="shared" si="15"/>
        <v>-9.6000851683834281</v>
      </c>
      <c r="F49" s="4">
        <f t="shared" si="16"/>
        <v>49.574649054428683</v>
      </c>
      <c r="G49" s="4">
        <f t="shared" si="17"/>
        <v>14.557822842261501</v>
      </c>
      <c r="H49" s="4">
        <f t="shared" si="18"/>
        <v>-32.553455512047513</v>
      </c>
      <c r="I49" s="4">
        <f t="shared" si="19"/>
        <v>-15.266482866780208</v>
      </c>
      <c r="J49" s="4">
        <f t="shared" si="20"/>
        <v>21.913730916622466</v>
      </c>
      <c r="K49" s="4">
        <f t="shared" si="21"/>
        <v>15.09893160318696</v>
      </c>
      <c r="L49" s="4">
        <f t="shared" si="22"/>
        <v>-14.985101483190094</v>
      </c>
      <c r="M49" s="4">
        <f t="shared" si="23"/>
        <v>-14.569405437120936</v>
      </c>
    </row>
    <row r="50" spans="1:13">
      <c r="A50" s="4" cm="1">
        <f t="array" ref="A50">A49+Table4[Salto]</f>
        <v>-1.6260504689434647</v>
      </c>
      <c r="B50" s="4">
        <f t="shared" si="12"/>
        <v>-11.367634592629972</v>
      </c>
      <c r="C50" s="4">
        <f t="shared" si="13"/>
        <v>-24.38528388571072</v>
      </c>
      <c r="D50" s="4">
        <f t="shared" si="14"/>
        <v>-39.972909255911141</v>
      </c>
      <c r="E50" s="4">
        <f t="shared" si="15"/>
        <v>-6.1274690957204232</v>
      </c>
      <c r="F50" s="4">
        <f t="shared" si="16"/>
        <v>50.602160614816711</v>
      </c>
      <c r="G50" s="4">
        <f t="shared" si="17"/>
        <v>9.3761984251679138</v>
      </c>
      <c r="H50" s="4">
        <f t="shared" si="18"/>
        <v>-34.521488530544715</v>
      </c>
      <c r="I50" s="4">
        <f t="shared" si="19"/>
        <v>-9.9835617075077057</v>
      </c>
      <c r="J50" s="4">
        <f t="shared" si="20"/>
        <v>24.722522800497284</v>
      </c>
      <c r="K50" s="4">
        <f t="shared" si="21"/>
        <v>10.090657551709473</v>
      </c>
      <c r="L50" s="4">
        <f t="shared" si="22"/>
        <v>-18.552263951225079</v>
      </c>
      <c r="M50" s="4">
        <f t="shared" si="23"/>
        <v>-10.019130736993041</v>
      </c>
    </row>
    <row r="51" spans="1:13">
      <c r="A51" s="4" cm="1">
        <f t="array" ref="A51">A50+Table4[Salto]</f>
        <v>-1.5944766734299995</v>
      </c>
      <c r="B51" s="4">
        <f t="shared" si="12"/>
        <v>-10.306016901079014</v>
      </c>
      <c r="C51" s="4">
        <f t="shared" si="13"/>
        <v>-21.745493338235175</v>
      </c>
      <c r="D51" s="4">
        <f t="shared" si="14"/>
        <v>-40.02278183802617</v>
      </c>
      <c r="E51" s="4">
        <f t="shared" si="15"/>
        <v>-2.6304271338283933</v>
      </c>
      <c r="F51" s="4">
        <f t="shared" si="16"/>
        <v>51.176001803585393</v>
      </c>
      <c r="G51" s="4">
        <f t="shared" si="17"/>
        <v>4.0452178916444801</v>
      </c>
      <c r="H51" s="4">
        <f t="shared" si="18"/>
        <v>-35.63094120946181</v>
      </c>
      <c r="I51" s="4">
        <f t="shared" si="19"/>
        <v>-4.343415130999059</v>
      </c>
      <c r="J51" s="4">
        <f t="shared" si="20"/>
        <v>26.32856888156779</v>
      </c>
      <c r="K51" s="4">
        <f t="shared" si="21"/>
        <v>4.4419961727138046</v>
      </c>
      <c r="L51" s="4">
        <f t="shared" si="22"/>
        <v>-20.631398311529253</v>
      </c>
      <c r="M51" s="4">
        <f t="shared" si="23"/>
        <v>-4.4783144639019588</v>
      </c>
    </row>
    <row r="52" spans="1:13">
      <c r="A52" s="4" cm="1">
        <f t="array" ref="A52">A51+Table4[Salto]</f>
        <v>-1.5629028779165344</v>
      </c>
      <c r="B52" s="4">
        <f t="shared" si="12"/>
        <v>-9.325238636961517</v>
      </c>
      <c r="C52" s="4">
        <f t="shared" si="13"/>
        <v>-18.002232478414992</v>
      </c>
      <c r="D52" s="4">
        <f t="shared" si="14"/>
        <v>-40.032758840803496</v>
      </c>
      <c r="E52" s="4">
        <f t="shared" si="15"/>
        <v>0.87710048222071646</v>
      </c>
      <c r="F52" s="4">
        <f t="shared" si="16"/>
        <v>51.291027884972543</v>
      </c>
      <c r="G52" s="4">
        <f t="shared" si="17"/>
        <v>-1.350200061717125</v>
      </c>
      <c r="H52" s="4">
        <f t="shared" si="18"/>
        <v>-35.854220466971803</v>
      </c>
      <c r="I52" s="4">
        <f t="shared" si="19"/>
        <v>1.4521447466798105</v>
      </c>
      <c r="J52" s="4">
        <f t="shared" si="20"/>
        <v>26.653735338350394</v>
      </c>
      <c r="K52" s="4">
        <f t="shared" si="21"/>
        <v>-1.4885693382289704</v>
      </c>
      <c r="L52" s="4">
        <f t="shared" si="22"/>
        <v>-21.055742686629575</v>
      </c>
      <c r="M52" s="4">
        <f t="shared" si="23"/>
        <v>1.5052504637125119</v>
      </c>
    </row>
    <row r="53" spans="1:13">
      <c r="A53" s="4" cm="1">
        <f t="array" ref="A53">A52+Table4[Salto]</f>
        <v>-1.5313290824030692</v>
      </c>
      <c r="B53" s="4">
        <f t="shared" si="12"/>
        <v>-8.4205925352985638</v>
      </c>
      <c r="C53" s="4">
        <f t="shared" si="13"/>
        <v>-13.483354603218515</v>
      </c>
      <c r="D53" s="4">
        <f t="shared" si="14"/>
        <v>-40.002830318949783</v>
      </c>
      <c r="E53" s="4">
        <f t="shared" si="15"/>
        <v>4.3811317184616589</v>
      </c>
      <c r="F53" s="4">
        <f t="shared" si="16"/>
        <v>50.946207600145442</v>
      </c>
      <c r="G53" s="4">
        <f t="shared" si="17"/>
        <v>-6.7241102964408537</v>
      </c>
      <c r="H53" s="4">
        <f t="shared" si="18"/>
        <v>-35.18577314795612</v>
      </c>
      <c r="I53" s="4">
        <f t="shared" si="19"/>
        <v>7.1957449101587008</v>
      </c>
      <c r="J53" s="4">
        <f t="shared" si="20"/>
        <v>25.682202887584094</v>
      </c>
      <c r="K53" s="4">
        <f t="shared" si="21"/>
        <v>-7.3246651939040905</v>
      </c>
      <c r="L53" s="4">
        <f t="shared" si="22"/>
        <v>-19.791261534601517</v>
      </c>
      <c r="M53" s="4">
        <f t="shared" si="23"/>
        <v>7.3399987722839555</v>
      </c>
    </row>
    <row r="54" spans="1:13">
      <c r="A54" s="4" cm="1">
        <f t="array" ref="A54">A53+Table4[Salto]</f>
        <v>-1.499755286889604</v>
      </c>
      <c r="B54" s="4">
        <f t="shared" si="12"/>
        <v>-7.5875577201654911</v>
      </c>
      <c r="C54" s="4">
        <f t="shared" si="13"/>
        <v>-8.5969322796387839</v>
      </c>
      <c r="D54" s="4">
        <f t="shared" si="14"/>
        <v>-39.933026105866489</v>
      </c>
      <c r="E54" s="4">
        <f t="shared" si="15"/>
        <v>7.8676984785247193</v>
      </c>
      <c r="F54" s="4">
        <f t="shared" si="16"/>
        <v>50.144632412884654</v>
      </c>
      <c r="G54" s="4">
        <f t="shared" si="17"/>
        <v>-11.990910276583515</v>
      </c>
      <c r="H54" s="4">
        <f t="shared" si="18"/>
        <v>-33.642224135946194</v>
      </c>
      <c r="I54" s="4">
        <f t="shared" si="19"/>
        <v>12.681871533315528</v>
      </c>
      <c r="J54" s="4">
        <f t="shared" si="20"/>
        <v>23.461236389205567</v>
      </c>
      <c r="K54" s="4">
        <f t="shared" si="21"/>
        <v>-12.695912971596917</v>
      </c>
      <c r="L54" s="4">
        <f t="shared" si="22"/>
        <v>-16.939375550022334</v>
      </c>
      <c r="M54" s="4">
        <f t="shared" si="23"/>
        <v>12.449077946446197</v>
      </c>
    </row>
    <row r="55" spans="1:13">
      <c r="A55" s="4" cm="1">
        <f t="array" ref="A55">A54+Table4[Salto]</f>
        <v>-1.4681814913761388</v>
      </c>
      <c r="B55" s="4">
        <f t="shared" si="12"/>
        <v>-6.8217959392564653</v>
      </c>
      <c r="C55" s="4">
        <f t="shared" si="13"/>
        <v>-3.7854655710671459</v>
      </c>
      <c r="D55" s="4">
        <f t="shared" si="14"/>
        <v>-39.823415783911301</v>
      </c>
      <c r="E55" s="4">
        <f t="shared" si="15"/>
        <v>11.322902284565208</v>
      </c>
      <c r="F55" s="4">
        <f t="shared" si="16"/>
        <v>48.893488793267096</v>
      </c>
      <c r="G55" s="4">
        <f t="shared" si="17"/>
        <v>-17.06670365573936</v>
      </c>
      <c r="H55" s="4">
        <f t="shared" si="18"/>
        <v>-31.261962877379645</v>
      </c>
      <c r="I55" s="4">
        <f t="shared" si="19"/>
        <v>17.714223543508623</v>
      </c>
      <c r="J55" s="4">
        <f t="shared" si="20"/>
        <v>20.098885420341318</v>
      </c>
      <c r="K55" s="4">
        <f t="shared" si="21"/>
        <v>-17.261435083086059</v>
      </c>
      <c r="L55" s="4">
        <f t="shared" si="22"/>
        <v>-12.728826977841441</v>
      </c>
      <c r="M55" s="4">
        <f t="shared" si="23"/>
        <v>16.327378765208412</v>
      </c>
    </row>
    <row r="56" spans="1:13">
      <c r="A56" s="4" cm="1">
        <f t="array" ref="A56">A55+Table4[Salto]</f>
        <v>-1.4366076958626737</v>
      </c>
      <c r="B56" s="4">
        <f t="shared" si="12"/>
        <v>-6.1191477984490215</v>
      </c>
      <c r="C56" s="4">
        <f t="shared" si="13"/>
        <v>0.52214590426268614</v>
      </c>
      <c r="D56" s="4">
        <f t="shared" si="14"/>
        <v>-39.6741086150369</v>
      </c>
      <c r="E56" s="4">
        <f t="shared" si="15"/>
        <v>14.732969680673081</v>
      </c>
      <c r="F56" s="4">
        <f t="shared" si="16"/>
        <v>47.203993787837135</v>
      </c>
      <c r="G56" s="4">
        <f t="shared" si="17"/>
        <v>-21.870636685669009</v>
      </c>
      <c r="H56" s="4">
        <f t="shared" si="18"/>
        <v>-28.104188601683106</v>
      </c>
      <c r="I56" s="4">
        <f t="shared" si="19"/>
        <v>22.112736540958807</v>
      </c>
      <c r="J56" s="4">
        <f t="shared" si="20"/>
        <v>15.758727684933271</v>
      </c>
      <c r="K56" s="4">
        <f t="shared" si="21"/>
        <v>-20.731488021695245</v>
      </c>
      <c r="L56" s="4">
        <f t="shared" si="22"/>
        <v>-7.4973328018642933</v>
      </c>
      <c r="M56" s="4">
        <f t="shared" si="23"/>
        <v>18.591472935808948</v>
      </c>
    </row>
    <row r="57" spans="1:13">
      <c r="A57" s="4" cm="1">
        <f t="array" ref="A57">A56+Table4[Salto]</f>
        <v>-1.4050339003492085</v>
      </c>
      <c r="B57" s="4">
        <f t="shared" si="12"/>
        <v>-5.4756289963686386</v>
      </c>
      <c r="C57" s="4">
        <f t="shared" si="13"/>
        <v>3.9558336725972492</v>
      </c>
      <c r="D57" s="4">
        <f t="shared" si="14"/>
        <v>-39.485253431876302</v>
      </c>
      <c r="E57" s="4">
        <f t="shared" si="15"/>
        <v>18.084307137908471</v>
      </c>
      <c r="F57" s="4">
        <f t="shared" si="16"/>
        <v>45.091294453907125</v>
      </c>
      <c r="G57" s="4">
        <f t="shared" si="17"/>
        <v>-26.326186158521669</v>
      </c>
      <c r="H57" s="4">
        <f t="shared" si="18"/>
        <v>-24.247437983413541</v>
      </c>
      <c r="I57" s="4">
        <f t="shared" si="19"/>
        <v>25.720025747891768</v>
      </c>
      <c r="J57" s="4">
        <f t="shared" si="20"/>
        <v>10.651910991070986</v>
      </c>
      <c r="K57" s="4">
        <f t="shared" si="21"/>
        <v>-22.885850467226561</v>
      </c>
      <c r="L57" s="4">
        <f t="shared" si="22"/>
        <v>-1.6644973571602608</v>
      </c>
      <c r="M57" s="4">
        <f t="shared" si="23"/>
        <v>19.017520740017233</v>
      </c>
    </row>
    <row r="58" spans="1:13">
      <c r="A58" s="4" cm="1">
        <f t="array" ref="A58">A57+Table4[Salto]</f>
        <v>-1.3734601048357433</v>
      </c>
      <c r="B58" s="4">
        <f t="shared" si="12"/>
        <v>-4.8874265589533055</v>
      </c>
      <c r="C58" s="4">
        <f t="shared" si="13"/>
        <v>6.2421816841231177</v>
      </c>
      <c r="D58" s="4">
        <f t="shared" si="14"/>
        <v>-39.257038489383248</v>
      </c>
      <c r="E58" s="4">
        <f t="shared" si="15"/>
        <v>21.363555242095511</v>
      </c>
      <c r="F58" s="4">
        <f t="shared" si="16"/>
        <v>42.574332059602717</v>
      </c>
      <c r="G58" s="4">
        <f t="shared" si="17"/>
        <v>-30.362378366654806</v>
      </c>
      <c r="H58" s="4">
        <f t="shared" si="18"/>
        <v>-19.787631864819129</v>
      </c>
      <c r="I58" s="4">
        <f t="shared" si="19"/>
        <v>28.407017449956765</v>
      </c>
      <c r="J58" s="4">
        <f t="shared" si="20"/>
        <v>5.0268809522462625</v>
      </c>
      <c r="K58" s="4">
        <f t="shared" si="21"/>
        <v>-23.587799277314957</v>
      </c>
      <c r="L58" s="4">
        <f t="shared" si="22"/>
        <v>4.301843025766396</v>
      </c>
      <c r="M58" s="4">
        <f t="shared" si="23"/>
        <v>17.563400952627607</v>
      </c>
    </row>
    <row r="59" spans="1:13">
      <c r="A59" s="4" cm="1">
        <f t="array" ref="A59">A58+Table4[Salto]</f>
        <v>-1.3418863093222781</v>
      </c>
      <c r="B59" s="4">
        <f t="shared" si="12"/>
        <v>-4.3508950740180623</v>
      </c>
      <c r="C59" s="4">
        <f t="shared" si="13"/>
        <v>7.2311079376466836</v>
      </c>
      <c r="D59" s="4">
        <f t="shared" si="14"/>
        <v>-38.989691277175538</v>
      </c>
      <c r="E59" s="4">
        <f t="shared" si="15"/>
        <v>24.557641948366076</v>
      </c>
      <c r="F59" s="4">
        <f t="shared" si="16"/>
        <v>39.675672267158568</v>
      </c>
      <c r="G59" s="4">
        <f t="shared" si="17"/>
        <v>-33.914919662895478</v>
      </c>
      <c r="H59" s="4">
        <f t="shared" si="18"/>
        <v>-14.835689618579162</v>
      </c>
      <c r="I59" s="4">
        <f t="shared" si="19"/>
        <v>30.077567429288262</v>
      </c>
      <c r="J59" s="4">
        <f t="shared" si="20"/>
        <v>-0.84270584218551936</v>
      </c>
      <c r="K59" s="4">
        <f t="shared" si="21"/>
        <v>-22.792786401425218</v>
      </c>
      <c r="L59" s="4">
        <f t="shared" si="22"/>
        <v>9.9231439378114707</v>
      </c>
      <c r="M59" s="4">
        <f t="shared" si="23"/>
        <v>14.372875157283222</v>
      </c>
    </row>
    <row r="60" spans="1:13">
      <c r="A60" s="4" cm="1">
        <f t="array" ref="A60">A59+Table4[Salto]</f>
        <v>-1.310312513808813</v>
      </c>
      <c r="B60" s="4">
        <f t="shared" si="12"/>
        <v>-3.8625529258195788</v>
      </c>
      <c r="C60" s="4">
        <f t="shared" si="13"/>
        <v>6.9089184715108285</v>
      </c>
      <c r="D60" s="4">
        <f t="shared" si="14"/>
        <v>-38.683478292768491</v>
      </c>
      <c r="E60" s="4">
        <f t="shared" si="15"/>
        <v>27.653834690165109</v>
      </c>
      <c r="F60" s="4">
        <f t="shared" si="16"/>
        <v>36.42130282194482</v>
      </c>
      <c r="G60" s="4">
        <f t="shared" si="17"/>
        <v>-36.927220612229291</v>
      </c>
      <c r="H60" s="4">
        <f t="shared" si="18"/>
        <v>-9.514770483658527</v>
      </c>
      <c r="I60" s="4">
        <f t="shared" si="19"/>
        <v>30.671901135393753</v>
      </c>
      <c r="J60" s="4">
        <f t="shared" si="20"/>
        <v>-6.6712951654908137</v>
      </c>
      <c r="K60" s="4">
        <f t="shared" si="21"/>
        <v>-20.551266051121321</v>
      </c>
      <c r="L60" s="4">
        <f t="shared" si="22"/>
        <v>14.748535674817717</v>
      </c>
      <c r="M60" s="4">
        <f t="shared" si="23"/>
        <v>9.7613747544578739</v>
      </c>
    </row>
    <row r="61" spans="1:13">
      <c r="A61" s="4" cm="1">
        <f t="array" ref="A61">A60+Table4[Salto]</f>
        <v>-1.2787387182953478</v>
      </c>
      <c r="B61" s="4">
        <f t="shared" si="12"/>
        <v>-3.4190785296207031</v>
      </c>
      <c r="C61" s="4">
        <f t="shared" si="13"/>
        <v>5.3967136352678038</v>
      </c>
      <c r="D61" s="4">
        <f t="shared" si="14"/>
        <v>-38.338704775924363</v>
      </c>
      <c r="E61" s="4">
        <f t="shared" si="15"/>
        <v>30.639791134995875</v>
      </c>
      <c r="F61" s="4">
        <f t="shared" si="16"/>
        <v>32.840400561030421</v>
      </c>
      <c r="G61" s="4">
        <f t="shared" si="17"/>
        <v>-39.351297420914975</v>
      </c>
      <c r="H61" s="4">
        <f t="shared" si="18"/>
        <v>-3.9572104847247878</v>
      </c>
      <c r="I61" s="4">
        <f t="shared" si="19"/>
        <v>30.168752499873893</v>
      </c>
      <c r="J61" s="4">
        <f t="shared" si="20"/>
        <v>-12.175327309728507</v>
      </c>
      <c r="K61" s="4">
        <f t="shared" si="21"/>
        <v>-17.005492704801014</v>
      </c>
      <c r="L61" s="4">
        <f t="shared" si="22"/>
        <v>18.39098630610787</v>
      </c>
      <c r="M61" s="4">
        <f t="shared" si="23"/>
        <v>4.1848158293533926</v>
      </c>
    </row>
    <row r="62" spans="1:13">
      <c r="A62" s="4" cm="1">
        <f t="array" ref="A62">A61+Table4[Salto]</f>
        <v>-1.2471649227818826</v>
      </c>
      <c r="B62" s="4">
        <f t="shared" si="12"/>
        <v>-3.0173065662550274</v>
      </c>
      <c r="C62" s="4">
        <f t="shared" si="13"/>
        <v>2.9346653919036028</v>
      </c>
      <c r="D62" s="4">
        <f t="shared" si="14"/>
        <v>-37.955714404382775</v>
      </c>
      <c r="E62" s="4">
        <f t="shared" si="15"/>
        <v>33.503608384577724</v>
      </c>
      <c r="F62" s="4">
        <f t="shared" si="16"/>
        <v>28.965069830152853</v>
      </c>
      <c r="G62" s="4">
        <f t="shared" si="17"/>
        <v>-41.148536283905365</v>
      </c>
      <c r="H62" s="4">
        <f t="shared" si="18"/>
        <v>1.6987688833145933</v>
      </c>
      <c r="I62" s="4">
        <f t="shared" si="19"/>
        <v>28.586124865275281</v>
      </c>
      <c r="J62" s="4">
        <f t="shared" si="20"/>
        <v>-17.087032208979331</v>
      </c>
      <c r="K62" s="4">
        <f t="shared" si="21"/>
        <v>-12.380493156367399</v>
      </c>
      <c r="L62" s="4">
        <f t="shared" si="22"/>
        <v>20.55834448375845</v>
      </c>
      <c r="M62" s="4">
        <f t="shared" si="23"/>
        <v>-1.8054750015404286</v>
      </c>
    </row>
    <row r="63" spans="1:13">
      <c r="A63" s="4" cm="1">
        <f t="array" ref="A63">A62+Table4[Salto]</f>
        <v>-1.2155911272684174</v>
      </c>
      <c r="B63" s="4">
        <f t="shared" si="12"/>
        <v>-2.6542242166914485</v>
      </c>
      <c r="C63" s="4">
        <f t="shared" si="13"/>
        <v>-0.14586452916339621</v>
      </c>
      <c r="D63" s="4">
        <f t="shared" si="14"/>
        <v>-37.534888951275207</v>
      </c>
      <c r="E63" s="4">
        <f t="shared" si="15"/>
        <v>36.233870423290227</v>
      </c>
      <c r="F63" s="4">
        <f t="shared" si="16"/>
        <v>24.830054654299673</v>
      </c>
      <c r="G63" s="4">
        <f t="shared" si="17"/>
        <v>-42.290308475068507</v>
      </c>
      <c r="H63" s="4">
        <f t="shared" si="18"/>
        <v>7.3124983476913945</v>
      </c>
      <c r="I63" s="4">
        <f t="shared" si="19"/>
        <v>25.980646801006539</v>
      </c>
      <c r="J63" s="4">
        <f t="shared" si="20"/>
        <v>-21.167456399640063</v>
      </c>
      <c r="K63" s="4">
        <f t="shared" si="21"/>
        <v>-6.9697855522263401</v>
      </c>
      <c r="L63" s="4">
        <f t="shared" si="22"/>
        <v>21.076772130845658</v>
      </c>
      <c r="M63" s="4">
        <f t="shared" si="23"/>
        <v>-7.6172675080867718</v>
      </c>
    </row>
    <row r="64" spans="1:13">
      <c r="A64" s="4" cm="1">
        <f t="array" ref="A64">A63+Table4[Salto]</f>
        <v>-1.1840173317549523</v>
      </c>
      <c r="B64" s="4">
        <f t="shared" si="12"/>
        <v>-2.3269673965987279</v>
      </c>
      <c r="C64" s="4">
        <f t="shared" si="13"/>
        <v>-3.4591790938185198</v>
      </c>
      <c r="D64" s="4">
        <f t="shared" si="14"/>
        <v>-37.076647904565291</v>
      </c>
      <c r="E64" s="4">
        <f t="shared" si="15"/>
        <v>38.819693625760173</v>
      </c>
      <c r="F64" s="4">
        <f t="shared" si="16"/>
        <v>20.472427242417854</v>
      </c>
      <c r="G64" s="4">
        <f t="shared" si="17"/>
        <v>-42.758426382262797</v>
      </c>
      <c r="H64" s="4">
        <f t="shared" si="18"/>
        <v>12.744359428583408</v>
      </c>
      <c r="I64" s="4">
        <f t="shared" si="19"/>
        <v>22.445545856100416</v>
      </c>
      <c r="J64" s="4">
        <f t="shared" si="20"/>
        <v>-24.218088058763566</v>
      </c>
      <c r="K64" s="4">
        <f t="shared" si="21"/>
        <v>-1.1167517349229996</v>
      </c>
      <c r="L64" s="4">
        <f t="shared" si="22"/>
        <v>19.904687534608239</v>
      </c>
      <c r="M64" s="4">
        <f t="shared" si="23"/>
        <v>-12.675978700773957</v>
      </c>
    </row>
    <row r="65" spans="1:13">
      <c r="A65" s="4" cm="1">
        <f t="array" ref="A65">A64+Table4[Salto]</f>
        <v>-1.1524435362414871</v>
      </c>
      <c r="B65" s="4">
        <f t="shared" si="12"/>
        <v>-2.0328169909100477</v>
      </c>
      <c r="C65" s="4">
        <f t="shared" si="13"/>
        <v>-6.6070240008586083</v>
      </c>
      <c r="D65" s="4">
        <f t="shared" si="14"/>
        <v>-36.581448048894053</v>
      </c>
      <c r="E65" s="4">
        <f t="shared" si="15"/>
        <v>41.250770142184855</v>
      </c>
      <c r="F65" s="4">
        <f t="shared" si="16"/>
        <v>15.931255618941677</v>
      </c>
      <c r="G65" s="4">
        <f t="shared" si="17"/>
        <v>-42.545433222954465</v>
      </c>
      <c r="H65" s="4">
        <f t="shared" si="18"/>
        <v>17.859256875759488</v>
      </c>
      <c r="I65" s="4">
        <f t="shared" si="19"/>
        <v>18.107312750704033</v>
      </c>
      <c r="J65" s="4">
        <f t="shared" si="20"/>
        <v>-26.090514564647748</v>
      </c>
      <c r="K65" s="4">
        <f t="shared" si="21"/>
        <v>4.8071549323768688</v>
      </c>
      <c r="L65" s="4">
        <f t="shared" si="22"/>
        <v>17.136100505839384</v>
      </c>
      <c r="M65" s="4">
        <f t="shared" si="23"/>
        <v>-16.481478990168647</v>
      </c>
    </row>
    <row r="66" spans="1:13">
      <c r="A66" s="4" cm="1">
        <f t="array" ref="A66">A65+Table4[Salto]</f>
        <v>-1.1208697407280219</v>
      </c>
      <c r="B66" s="4">
        <f t="shared" ref="B66:B97" si="24">A66^5</f>
        <v>-1.7691950883875776</v>
      </c>
      <c r="C66" s="4">
        <f t="shared" ref="C66:C97" si="25">SUM(D66:M66)</f>
        <v>-9.2208134059785856</v>
      </c>
      <c r="D66" s="4">
        <f t="shared" ref="D66:D97" si="26">$P$2*SIN($O$2*$A66)</f>
        <v>-36.049783010247054</v>
      </c>
      <c r="E66" s="4">
        <f t="shared" ref="E66:E97" si="27">$P$3*SIN($O$3*$A66)</f>
        <v>43.517408988445077</v>
      </c>
      <c r="F66" s="4">
        <f t="shared" ref="F66:F97" si="28">$P$4*SIN($O$4*$A66)</f>
        <v>11.247253361966983</v>
      </c>
      <c r="G66" s="4">
        <f t="shared" ref="G66:G97" si="29">$P$5*SIN($O$5*$A66)</f>
        <v>-41.654721825415493</v>
      </c>
      <c r="H66" s="4">
        <f t="shared" ref="H66:H97" si="30">$P$6*SIN($O$6*$A66)</f>
        <v>22.529978608453511</v>
      </c>
      <c r="I66" s="4">
        <f t="shared" ref="I66:I97" si="31">$P$7*SIN($O$7*$A66)</f>
        <v>13.12117536606317</v>
      </c>
      <c r="J66" s="4">
        <f t="shared" ref="J66:J97" si="32">$P$8*SIN($O$8*$A66)</f>
        <v>-26.693642741277127</v>
      </c>
      <c r="K66" s="4">
        <f t="shared" ref="K66:K97" si="33">$P$9*SIN($O$9*$A66)</f>
        <v>10.425983255244253</v>
      </c>
      <c r="L66" s="4">
        <f t="shared" ref="L66:L97" si="34">$P$10*SIN($O$10*$A66)</f>
        <v>12.993072100178329</v>
      </c>
      <c r="M66" s="4">
        <f t="shared" ref="M66:M97" si="35">$P$11*SIN($O$11*$A66)</f>
        <v>-18.657537509390234</v>
      </c>
    </row>
    <row r="67" spans="1:13">
      <c r="A67" s="4" cm="1">
        <f t="array" ref="A67">A66+Table4[Salto]</f>
        <v>-1.0892959452145567</v>
      </c>
      <c r="B67" s="4">
        <f t="shared" si="24"/>
        <v>-1.5336612161870327</v>
      </c>
      <c r="C67" s="4">
        <f t="shared" si="25"/>
        <v>-10.99987168602706</v>
      </c>
      <c r="D67" s="4">
        <f t="shared" si="26"/>
        <v>-35.482182763897285</v>
      </c>
      <c r="E67" s="4">
        <f t="shared" si="27"/>
        <v>45.610574677210586</v>
      </c>
      <c r="F67" s="4">
        <f t="shared" si="28"/>
        <v>6.4624145883213719</v>
      </c>
      <c r="G67" s="4">
        <f t="shared" si="29"/>
        <v>-40.100480583402458</v>
      </c>
      <c r="H67" s="4">
        <f t="shared" si="30"/>
        <v>26.640359593752958</v>
      </c>
      <c r="I67" s="4">
        <f t="shared" si="31"/>
        <v>7.6655444797949555</v>
      </c>
      <c r="J67" s="4">
        <f t="shared" si="32"/>
        <v>-25.998130523165592</v>
      </c>
      <c r="K67" s="4">
        <f t="shared" si="33"/>
        <v>15.383143344960267</v>
      </c>
      <c r="L67" s="4">
        <f t="shared" si="34"/>
        <v>7.8079036871484355</v>
      </c>
      <c r="M67" s="4">
        <f t="shared" si="35"/>
        <v>-18.9890181867503</v>
      </c>
    </row>
    <row r="68" spans="1:13">
      <c r="A68" s="4" cm="1">
        <f t="array" ref="A68">A67+Table4[Salto]</f>
        <v>-1.0577221497010916</v>
      </c>
      <c r="B68" s="4">
        <f t="shared" si="24"/>
        <v>-1.3239085744222316</v>
      </c>
      <c r="C68" s="4">
        <f t="shared" si="25"/>
        <v>-11.741761559572831</v>
      </c>
      <c r="D68" s="4">
        <f t="shared" si="26"/>
        <v>-34.879213106114285</v>
      </c>
      <c r="E68" s="4">
        <f t="shared" si="27"/>
        <v>47.52192323604298</v>
      </c>
      <c r="F68" s="4">
        <f t="shared" si="28"/>
        <v>1.6196374580478892</v>
      </c>
      <c r="G68" s="4">
        <f t="shared" si="29"/>
        <v>-37.907467445219758</v>
      </c>
      <c r="H68" s="4">
        <f t="shared" si="30"/>
        <v>30.088170975012815</v>
      </c>
      <c r="I68" s="4">
        <f t="shared" si="31"/>
        <v>1.9356299855957433</v>
      </c>
      <c r="J68" s="4">
        <f t="shared" si="32"/>
        <v>-24.037814440989379</v>
      </c>
      <c r="K68" s="4">
        <f t="shared" si="33"/>
        <v>19.36403702140975</v>
      </c>
      <c r="L68" s="4">
        <f t="shared" si="34"/>
        <v>1.9964839346875523</v>
      </c>
      <c r="M68" s="4">
        <f t="shared" si="35"/>
        <v>-17.443149178046138</v>
      </c>
    </row>
    <row r="69" spans="1:13">
      <c r="A69" s="4" cm="1">
        <f t="array" ref="A69">A68+Table4[Salto]</f>
        <v>-1.0261483541876264</v>
      </c>
      <c r="B69" s="4">
        <f t="shared" si="24"/>
        <v>-1.1377602707296608</v>
      </c>
      <c r="C69" s="4">
        <f t="shared" si="25"/>
        <v>-11.361668551804893</v>
      </c>
      <c r="D69" s="4">
        <f t="shared" si="26"/>
        <v>-34.241475090166112</v>
      </c>
      <c r="E69" s="4">
        <f t="shared" si="27"/>
        <v>49.243835468917482</v>
      </c>
      <c r="F69" s="4">
        <f t="shared" si="28"/>
        <v>-3.237660426251777</v>
      </c>
      <c r="G69" s="4">
        <f t="shared" si="29"/>
        <v>-35.110615537359216</v>
      </c>
      <c r="H69" s="4">
        <f t="shared" si="30"/>
        <v>32.787662595083532</v>
      </c>
      <c r="I69" s="4">
        <f t="shared" si="31"/>
        <v>-3.8635439822739976</v>
      </c>
      <c r="J69" s="4">
        <f t="shared" si="32"/>
        <v>-20.90806348111909</v>
      </c>
      <c r="K69" s="4">
        <f t="shared" si="33"/>
        <v>22.116023279828497</v>
      </c>
      <c r="L69" s="4">
        <f t="shared" si="34"/>
        <v>-3.9750685228307425</v>
      </c>
      <c r="M69" s="4">
        <f t="shared" si="35"/>
        <v>-14.172762855633467</v>
      </c>
    </row>
    <row r="70" spans="1:13">
      <c r="A70" s="4" cm="1">
        <f t="array" ref="A70">A69+Table4[Salto]</f>
        <v>-0.99457455867416111</v>
      </c>
      <c r="B70" s="4">
        <f t="shared" si="24"/>
        <v>-0.97316555483303102</v>
      </c>
      <c r="C70" s="4">
        <f t="shared" si="25"/>
        <v>-9.8990094129016235</v>
      </c>
      <c r="D70" s="4">
        <f t="shared" si="26"/>
        <v>-33.569604427176358</v>
      </c>
      <c r="E70" s="4">
        <f t="shared" si="27"/>
        <v>50.769447328573264</v>
      </c>
      <c r="F70" s="4">
        <f t="shared" si="28"/>
        <v>-8.0659312771025267</v>
      </c>
      <c r="G70" s="4">
        <f t="shared" si="29"/>
        <v>-31.754476704848543</v>
      </c>
      <c r="H70" s="4">
        <f t="shared" si="30"/>
        <v>34.671695679523097</v>
      </c>
      <c r="I70" s="4">
        <f t="shared" si="31"/>
        <v>-9.5244750913812322</v>
      </c>
      <c r="J70" s="4">
        <f t="shared" si="32"/>
        <v>-16.761139403456095</v>
      </c>
      <c r="K70" s="4">
        <f t="shared" si="33"/>
        <v>23.464451745217207</v>
      </c>
      <c r="L70" s="4">
        <f t="shared" si="34"/>
        <v>-9.6277912295607155</v>
      </c>
      <c r="M70" s="4">
        <f t="shared" si="35"/>
        <v>-9.50118603268972</v>
      </c>
    </row>
    <row r="71" spans="1:13">
      <c r="A71" s="4" cm="1">
        <f t="array" ref="A71">A70+Table4[Salto]</f>
        <v>-0.96300076316069583</v>
      </c>
      <c r="B71" s="4">
        <f t="shared" si="24"/>
        <v>-0.82819605310784217</v>
      </c>
      <c r="C71" s="4">
        <f t="shared" si="25"/>
        <v>-7.5107989751373534</v>
      </c>
      <c r="D71" s="4">
        <f t="shared" si="26"/>
        <v>-32.864270852433499</v>
      </c>
      <c r="E71" s="4">
        <f t="shared" si="27"/>
        <v>52.092677278619306</v>
      </c>
      <c r="F71" s="4">
        <f t="shared" si="28"/>
        <v>-12.82188754700495</v>
      </c>
      <c r="G71" s="4">
        <f t="shared" si="29"/>
        <v>-27.892511832312138</v>
      </c>
      <c r="H71" s="4">
        <f t="shared" si="30"/>
        <v>35.693412638051576</v>
      </c>
      <c r="I71" s="4">
        <f t="shared" si="31"/>
        <v>-14.844607526813162</v>
      </c>
      <c r="J71" s="4">
        <f t="shared" si="32"/>
        <v>-11.798789237185387</v>
      </c>
      <c r="K71" s="4">
        <f t="shared" si="33"/>
        <v>23.323746577064519</v>
      </c>
      <c r="L71" s="4">
        <f t="shared" si="34"/>
        <v>-14.508294222156815</v>
      </c>
      <c r="M71" s="4">
        <f t="shared" si="35"/>
        <v>-3.8902742509668045</v>
      </c>
    </row>
    <row r="72" spans="1:13">
      <c r="A72" s="4" cm="1">
        <f t="array" ref="A72">A71+Table4[Salto]</f>
        <v>-0.93142696764723054</v>
      </c>
      <c r="B72" s="4">
        <f t="shared" si="24"/>
        <v>-0.70104200314594001</v>
      </c>
      <c r="C72" s="4">
        <f t="shared" si="25"/>
        <v>-4.4527020412811318</v>
      </c>
      <c r="D72" s="4">
        <f t="shared" si="26"/>
        <v>-32.126177457784202</v>
      </c>
      <c r="E72" s="4">
        <f t="shared" si="27"/>
        <v>53.20825053632241</v>
      </c>
      <c r="F72" s="4">
        <f t="shared" si="28"/>
        <v>-17.462890020120152</v>
      </c>
      <c r="G72" s="4">
        <f t="shared" si="29"/>
        <v>-23.58623925042037</v>
      </c>
      <c r="H72" s="4">
        <f t="shared" si="30"/>
        <v>35.827402454790203</v>
      </c>
      <c r="I72" s="4">
        <f t="shared" si="31"/>
        <v>-19.633579713745341</v>
      </c>
      <c r="J72" s="4">
        <f t="shared" si="32"/>
        <v>-6.2624303280483327</v>
      </c>
      <c r="K72" s="4">
        <f t="shared" si="33"/>
        <v>21.702837402219782</v>
      </c>
      <c r="L72" s="4">
        <f t="shared" si="34"/>
        <v>-18.225125241641944</v>
      </c>
      <c r="M72" s="4">
        <f t="shared" si="35"/>
        <v>2.105249577146814</v>
      </c>
    </row>
    <row r="73" spans="1:13">
      <c r="A73" s="4" cm="1">
        <f t="array" ref="A73">A72+Table4[Salto]</f>
        <v>-0.89985317213376526</v>
      </c>
      <c r="B73" s="4">
        <f t="shared" si="24"/>
        <v>-0.59000848832007802</v>
      </c>
      <c r="C73" s="4">
        <f t="shared" si="25"/>
        <v>-1.049969852774983</v>
      </c>
      <c r="D73" s="4">
        <f t="shared" si="26"/>
        <v>-31.356059990776032</v>
      </c>
      <c r="E73" s="4">
        <f t="shared" si="27"/>
        <v>54.111720099438436</v>
      </c>
      <c r="F73" s="4">
        <f t="shared" si="28"/>
        <v>-21.947330091379019</v>
      </c>
      <c r="G73" s="4">
        <f t="shared" si="29"/>
        <v>-18.904254793002153</v>
      </c>
      <c r="H73" s="4">
        <f t="shared" si="30"/>
        <v>35.070332682986162</v>
      </c>
      <c r="I73" s="4">
        <f t="shared" si="31"/>
        <v>-23.720035713512814</v>
      </c>
      <c r="J73" s="4">
        <f t="shared" si="32"/>
        <v>-0.42140543262841573</v>
      </c>
      <c r="K73" s="4">
        <f t="shared" si="33"/>
        <v>18.704592610508854</v>
      </c>
      <c r="L73" s="4">
        <f t="shared" si="34"/>
        <v>-20.480167085543084</v>
      </c>
      <c r="M73" s="4">
        <f t="shared" si="35"/>
        <v>7.892637861133081</v>
      </c>
    </row>
    <row r="74" spans="1:13">
      <c r="A74" s="4" cm="1">
        <f t="array" ref="A74">A73+Table4[Salto]</f>
        <v>-0.86827937662029997</v>
      </c>
      <c r="B74" s="4">
        <f t="shared" si="24"/>
        <v>-0.4935116723484777</v>
      </c>
      <c r="C74" s="4">
        <f t="shared" si="25"/>
        <v>2.3385154504597079</v>
      </c>
      <c r="D74" s="4">
        <f t="shared" si="26"/>
        <v>-30.55468612124837</v>
      </c>
      <c r="E74" s="4">
        <f t="shared" si="27"/>
        <v>54.799484473267746</v>
      </c>
      <c r="F74" s="4">
        <f t="shared" si="28"/>
        <v>-26.235002805718093</v>
      </c>
      <c r="G74" s="4">
        <f t="shared" si="29"/>
        <v>-13.921139114608033</v>
      </c>
      <c r="H74" s="4">
        <f t="shared" si="30"/>
        <v>33.441032325948122</v>
      </c>
      <c r="I74" s="4">
        <f t="shared" si="31"/>
        <v>-26.95775657216889</v>
      </c>
      <c r="J74" s="4">
        <f t="shared" si="32"/>
        <v>5.4401207530304809</v>
      </c>
      <c r="K74" s="4">
        <f t="shared" si="33"/>
        <v>14.519290978073915</v>
      </c>
      <c r="L74" s="4">
        <f t="shared" si="34"/>
        <v>-21.092548801578825</v>
      </c>
      <c r="M74" s="4">
        <f t="shared" si="35"/>
        <v>12.899720335461653</v>
      </c>
    </row>
    <row r="75" spans="1:13">
      <c r="A75" s="4" cm="1">
        <f t="array" ref="A75">A74+Table4[Salto]</f>
        <v>-0.83670558110683468</v>
      </c>
      <c r="B75" s="4">
        <f t="shared" si="24"/>
        <v>-0.4100750338593887</v>
      </c>
      <c r="C75" s="4">
        <f t="shared" si="25"/>
        <v>5.3591925697419782</v>
      </c>
      <c r="D75" s="4">
        <f t="shared" si="26"/>
        <v>-29.722854676102344</v>
      </c>
      <c r="E75" s="4">
        <f t="shared" si="27"/>
        <v>55.268802027269501</v>
      </c>
      <c r="F75" s="4">
        <f t="shared" si="28"/>
        <v>-30.287467312982713</v>
      </c>
      <c r="G75" s="4">
        <f t="shared" si="29"/>
        <v>-8.716269674171464</v>
      </c>
      <c r="H75" s="4">
        <f t="shared" si="30"/>
        <v>30.98002354286935</v>
      </c>
      <c r="I75" s="4">
        <f t="shared" si="31"/>
        <v>-29.230892233539944</v>
      </c>
      <c r="J75" s="4">
        <f t="shared" si="32"/>
        <v>11.036986149203768</v>
      </c>
      <c r="K75" s="4">
        <f t="shared" si="33"/>
        <v>9.412545931346072</v>
      </c>
      <c r="L75" s="4">
        <f t="shared" si="34"/>
        <v>-20.013152869185792</v>
      </c>
      <c r="M75" s="4">
        <f t="shared" si="35"/>
        <v>16.631471685035542</v>
      </c>
    </row>
    <row r="76" spans="1:13">
      <c r="A76" s="4" cm="1">
        <f t="array" ref="A76">A75+Table4[Salto]</f>
        <v>-0.8051317855933694</v>
      </c>
      <c r="B76" s="4">
        <f t="shared" si="24"/>
        <v>-0.33832560095564979</v>
      </c>
      <c r="C76" s="4">
        <f t="shared" si="25"/>
        <v>7.7016169166231023</v>
      </c>
      <c r="D76" s="4">
        <f t="shared" si="26"/>
        <v>-28.861394843012874</v>
      </c>
      <c r="E76" s="4">
        <f t="shared" si="27"/>
        <v>55.517801924005248</v>
      </c>
      <c r="F76" s="4">
        <f t="shared" si="28"/>
        <v>-34.068391506862625</v>
      </c>
      <c r="G76" s="4">
        <f t="shared" si="29"/>
        <v>-3.372556309016419</v>
      </c>
      <c r="H76" s="4">
        <f t="shared" si="30"/>
        <v>27.748513826434184</v>
      </c>
      <c r="I76" s="4">
        <f t="shared" si="31"/>
        <v>-30.458106811811092</v>
      </c>
      <c r="J76" s="4">
        <f t="shared" si="32"/>
        <v>16.096904370782976</v>
      </c>
      <c r="K76" s="4">
        <f t="shared" si="33"/>
        <v>3.7084488187862346</v>
      </c>
      <c r="L76" s="4">
        <f t="shared" si="34"/>
        <v>-17.328554786157344</v>
      </c>
      <c r="M76" s="4">
        <f t="shared" si="35"/>
        <v>18.718952233474813</v>
      </c>
    </row>
    <row r="77" spans="1:13">
      <c r="A77" s="4" cm="1">
        <f t="array" ref="A77">A76+Table4[Salto]</f>
        <v>-0.77355799007990411</v>
      </c>
      <c r="B77" s="4">
        <f t="shared" si="24"/>
        <v>-0.27699018577924872</v>
      </c>
      <c r="C77" s="4">
        <f t="shared" si="25"/>
        <v>9.1311292284372492</v>
      </c>
      <c r="D77" s="4">
        <f t="shared" si="26"/>
        <v>-27.971165343876297</v>
      </c>
      <c r="E77" s="4">
        <f t="shared" si="27"/>
        <v>55.545491576845706</v>
      </c>
      <c r="F77" s="4">
        <f t="shared" si="28"/>
        <v>-37.543877758022262</v>
      </c>
      <c r="G77" s="4">
        <f t="shared" si="29"/>
        <v>2.0248794593893491</v>
      </c>
      <c r="H77" s="4">
        <f t="shared" si="30"/>
        <v>23.826873717653271</v>
      </c>
      <c r="I77" s="4">
        <f t="shared" si="31"/>
        <v>-30.595488900151313</v>
      </c>
      <c r="J77" s="4">
        <f t="shared" si="32"/>
        <v>20.373711405598026</v>
      </c>
      <c r="K77" s="4">
        <f t="shared" si="33"/>
        <v>-2.2309990244995865</v>
      </c>
      <c r="L77" s="4">
        <f t="shared" si="34"/>
        <v>-13.254079076552065</v>
      </c>
      <c r="M77" s="4">
        <f t="shared" si="35"/>
        <v>18.955783172052421</v>
      </c>
    </row>
    <row r="78" spans="1:13">
      <c r="A78" s="4" cm="1">
        <f t="array" ref="A78">A77+Table4[Salto]</f>
        <v>-0.74198419456643883</v>
      </c>
      <c r="B78" s="4">
        <f t="shared" si="24"/>
        <v>-0.22489161907588293</v>
      </c>
      <c r="C78" s="4">
        <f t="shared" si="25"/>
        <v>9.5130185569584569</v>
      </c>
      <c r="D78" s="4">
        <f t="shared" si="26"/>
        <v>-27.053053578817767</v>
      </c>
      <c r="E78" s="4">
        <f t="shared" si="27"/>
        <v>55.351760606712261</v>
      </c>
      <c r="F78" s="4">
        <f t="shared" si="28"/>
        <v>-40.682766821086211</v>
      </c>
      <c r="G78" s="4">
        <f t="shared" si="29"/>
        <v>7.3900603502232896</v>
      </c>
      <c r="H78" s="4">
        <f t="shared" si="30"/>
        <v>19.312637918523308</v>
      </c>
      <c r="I78" s="4">
        <f t="shared" si="31"/>
        <v>-29.638122780576772</v>
      </c>
      <c r="J78" s="4">
        <f t="shared" si="32"/>
        <v>23.659341444506452</v>
      </c>
      <c r="K78" s="4">
        <f t="shared" si="33"/>
        <v>-8.0288601083821103</v>
      </c>
      <c r="L78" s="4">
        <f t="shared" si="34"/>
        <v>-8.1165286791432845</v>
      </c>
      <c r="M78" s="4">
        <f t="shared" si="35"/>
        <v>17.318550204999291</v>
      </c>
    </row>
    <row r="79" spans="1:13">
      <c r="A79" s="4" cm="1">
        <f t="array" ref="A79">A78+Table4[Salto]</f>
        <v>-0.71041039905297354</v>
      </c>
      <c r="B79" s="4">
        <f t="shared" si="24"/>
        <v>-0.18094498475951981</v>
      </c>
      <c r="C79" s="4">
        <f t="shared" si="25"/>
        <v>8.8257396119245808</v>
      </c>
      <c r="D79" s="4">
        <f t="shared" si="26"/>
        <v>-26.107974741611461</v>
      </c>
      <c r="E79" s="4">
        <f t="shared" si="27"/>
        <v>54.937381282080324</v>
      </c>
      <c r="F79" s="4">
        <f t="shared" si="28"/>
        <v>-43.456917190822082</v>
      </c>
      <c r="G79" s="4">
        <f t="shared" si="29"/>
        <v>12.637522879729804</v>
      </c>
      <c r="H79" s="4">
        <f t="shared" si="30"/>
        <v>14.31807951662948</v>
      </c>
      <c r="I79" s="4">
        <f t="shared" si="31"/>
        <v>-27.620264315026574</v>
      </c>
      <c r="J79" s="4">
        <f t="shared" si="32"/>
        <v>25.793949241505082</v>
      </c>
      <c r="K79" s="4">
        <f t="shared" si="33"/>
        <v>-13.317182518350052</v>
      </c>
      <c r="L79" s="4">
        <f t="shared" si="34"/>
        <v>-2.3279729465624004</v>
      </c>
      <c r="M79" s="4">
        <f t="shared" si="35"/>
        <v>13.969118404352461</v>
      </c>
    </row>
    <row r="80" spans="1:13">
      <c r="A80" s="4" cm="1">
        <f t="array" ref="A80">A79+Table4[Salto]</f>
        <v>-0.67883660353950825</v>
      </c>
      <c r="B80" s="4">
        <f t="shared" si="24"/>
        <v>-0.14415385447695728</v>
      </c>
      <c r="C80" s="4">
        <f t="shared" si="25"/>
        <v>7.1619262198673965</v>
      </c>
      <c r="D80" s="4">
        <f t="shared" si="26"/>
        <v>-25.136870907395554</v>
      </c>
      <c r="E80" s="4">
        <f t="shared" si="27"/>
        <v>54.30400544049067</v>
      </c>
      <c r="F80" s="4">
        <f t="shared" si="28"/>
        <v>-45.841457402970775</v>
      </c>
      <c r="G80" s="4">
        <f t="shared" si="29"/>
        <v>17.683678733223225</v>
      </c>
      <c r="H80" s="4">
        <f t="shared" si="30"/>
        <v>8.9674176528978062</v>
      </c>
      <c r="I80" s="4">
        <f t="shared" si="31"/>
        <v>-24.614115224028719</v>
      </c>
      <c r="J80" s="4">
        <f t="shared" si="32"/>
        <v>26.673686553063458</v>
      </c>
      <c r="K80" s="4">
        <f t="shared" si="33"/>
        <v>-17.760351391068749</v>
      </c>
      <c r="L80" s="4">
        <f t="shared" si="34"/>
        <v>3.6473033494833396</v>
      </c>
      <c r="M80" s="4">
        <f t="shared" si="35"/>
        <v>9.2386294161726958</v>
      </c>
    </row>
    <row r="81" spans="1:13">
      <c r="A81" s="4" cm="1">
        <f t="array" ref="A81">A80+Table4[Salto]</f>
        <v>-0.64726280802604297</v>
      </c>
      <c r="B81" s="4">
        <f t="shared" si="24"/>
        <v>-0.11360652217238394</v>
      </c>
      <c r="C81" s="4">
        <f t="shared" si="25"/>
        <v>4.7172419008249378</v>
      </c>
      <c r="D81" s="4">
        <f t="shared" si="26"/>
        <v>-24.140710093591224</v>
      </c>
      <c r="E81" s="4">
        <f t="shared" si="27"/>
        <v>53.454157903840454</v>
      </c>
      <c r="F81" s="4">
        <f t="shared" si="28"/>
        <v>-47.815009017737545</v>
      </c>
      <c r="G81" s="4">
        <f t="shared" si="29"/>
        <v>22.448146266992328</v>
      </c>
      <c r="H81" s="4">
        <f t="shared" si="30"/>
        <v>3.3937280803009884</v>
      </c>
      <c r="I81" s="4">
        <f t="shared" si="31"/>
        <v>-20.727239610933044</v>
      </c>
      <c r="J81" s="4">
        <f t="shared" si="32"/>
        <v>26.255754334456817</v>
      </c>
      <c r="K81" s="4">
        <f t="shared" si="33"/>
        <v>-21.076388171074264</v>
      </c>
      <c r="L81" s="4">
        <f t="shared" si="34"/>
        <v>9.3300390738920917</v>
      </c>
      <c r="M81" s="4">
        <f t="shared" si="35"/>
        <v>3.5947631346783346</v>
      </c>
    </row>
    <row r="82" spans="1:13">
      <c r="A82" s="4" cm="1">
        <f t="array" ref="A82">A81+Table4[Salto]</f>
        <v>-0.61568901251257768</v>
      </c>
      <c r="B82" s="4">
        <f t="shared" si="24"/>
        <v>-8.8472238651939747E-2</v>
      </c>
      <c r="C82" s="4">
        <f t="shared" si="25"/>
        <v>1.7683885380393072</v>
      </c>
      <c r="D82" s="4">
        <f t="shared" si="26"/>
        <v>-23.120485294961831</v>
      </c>
      <c r="E82" s="4">
        <f t="shared" si="27"/>
        <v>52.391226413702505</v>
      </c>
      <c r="F82" s="4">
        <f t="shared" si="28"/>
        <v>-49.359878286800139</v>
      </c>
      <c r="G82" s="4">
        <f t="shared" si="29"/>
        <v>26.855030930236055</v>
      </c>
      <c r="H82" s="4">
        <f t="shared" si="30"/>
        <v>-2.2643665493097904</v>
      </c>
      <c r="I82" s="4">
        <f t="shared" si="31"/>
        <v>-16.098715171987866</v>
      </c>
      <c r="J82" s="4">
        <f t="shared" si="32"/>
        <v>24.560484904754798</v>
      </c>
      <c r="K82" s="4">
        <f t="shared" si="33"/>
        <v>-23.054845925585685</v>
      </c>
      <c r="L82" s="4">
        <f t="shared" si="34"/>
        <v>14.264436998414077</v>
      </c>
      <c r="M82" s="4">
        <f t="shared" si="35"/>
        <v>-2.4044994804228139</v>
      </c>
    </row>
    <row r="83" spans="1:13">
      <c r="A83" s="4" cm="1">
        <f t="array" ref="A83">A82+Table4[Salto]</f>
        <v>-0.5841152169991124</v>
      </c>
      <c r="B83" s="4">
        <f t="shared" si="24"/>
        <v>-6.7997446148276242E-2</v>
      </c>
      <c r="C83" s="4">
        <f t="shared" si="25"/>
        <v>-1.357278449552684</v>
      </c>
      <c r="D83" s="4">
        <f t="shared" si="26"/>
        <v>-22.077213493774138</v>
      </c>
      <c r="E83" s="4">
        <f t="shared" si="27"/>
        <v>51.119448126793664</v>
      </c>
      <c r="F83" s="4">
        <f t="shared" si="28"/>
        <v>-50.462214785455664</v>
      </c>
      <c r="G83" s="4">
        <f t="shared" si="29"/>
        <v>30.834134210827173</v>
      </c>
      <c r="H83" s="4">
        <f t="shared" si="30"/>
        <v>-7.8661443547164192</v>
      </c>
      <c r="I83" s="4">
        <f t="shared" si="31"/>
        <v>-10.894156807198923</v>
      </c>
      <c r="J83" s="4">
        <f t="shared" si="32"/>
        <v>21.670352783554364</v>
      </c>
      <c r="K83" s="4">
        <f t="shared" si="33"/>
        <v>-23.570165020106796</v>
      </c>
      <c r="L83" s="4">
        <f t="shared" si="34"/>
        <v>18.054722093881878</v>
      </c>
      <c r="M83" s="4">
        <f t="shared" si="35"/>
        <v>-8.1660412033578211</v>
      </c>
    </row>
    <row r="84" spans="1:13">
      <c r="A84" s="4" cm="1">
        <f t="array" ref="A84">A83+Table4[Salto]</f>
        <v>-0.55254142148564711</v>
      </c>
      <c r="B84" s="4">
        <f t="shared" si="24"/>
        <v>-5.1502012885117077E-2</v>
      </c>
      <c r="C84" s="4">
        <f t="shared" si="25"/>
        <v>-4.3172211859598395</v>
      </c>
      <c r="D84" s="4">
        <f t="shared" si="26"/>
        <v>-21.011934646048285</v>
      </c>
      <c r="E84" s="4">
        <f t="shared" si="27"/>
        <v>49.643892724425186</v>
      </c>
      <c r="F84" s="4">
        <f t="shared" si="28"/>
        <v>-51.112135587700195</v>
      </c>
      <c r="G84" s="4">
        <f t="shared" si="29"/>
        <v>34.322071847265093</v>
      </c>
      <c r="H84" s="4">
        <f t="shared" si="30"/>
        <v>-13.272284104559992</v>
      </c>
      <c r="I84" s="4">
        <f t="shared" si="31"/>
        <v>-5.2997906939427128</v>
      </c>
      <c r="J84" s="4">
        <f t="shared" si="32"/>
        <v>17.725962322052823</v>
      </c>
      <c r="K84" s="4">
        <f t="shared" si="33"/>
        <v>-22.589641558378268</v>
      </c>
      <c r="L84" s="4">
        <f t="shared" si="34"/>
        <v>20.396885600329774</v>
      </c>
      <c r="M84" s="4">
        <f t="shared" si="35"/>
        <v>-13.120247089403263</v>
      </c>
    </row>
    <row r="85" spans="1:13">
      <c r="A85" s="4" cm="1">
        <f t="array" ref="A85">A84+Table4[Salto]</f>
        <v>-0.52096762597218182</v>
      </c>
      <c r="B85" s="4">
        <f t="shared" si="24"/>
        <v>-3.837546764181831E-2</v>
      </c>
      <c r="C85" s="4">
        <f t="shared" si="25"/>
        <v>-6.7904661948853615</v>
      </c>
      <c r="D85" s="4">
        <f t="shared" si="26"/>
        <v>-19.925710644906999</v>
      </c>
      <c r="E85" s="4">
        <f t="shared" si="27"/>
        <v>47.970442203265925</v>
      </c>
      <c r="F85" s="4">
        <f t="shared" si="28"/>
        <v>-51.303813870957498</v>
      </c>
      <c r="G85" s="4">
        <f t="shared" si="29"/>
        <v>37.263283494503192</v>
      </c>
      <c r="H85" s="4">
        <f t="shared" si="30"/>
        <v>-18.348330261150338</v>
      </c>
      <c r="I85" s="4">
        <f t="shared" si="31"/>
        <v>0.48420913895929818</v>
      </c>
      <c r="J85" s="4">
        <f t="shared" si="32"/>
        <v>12.919207329408531</v>
      </c>
      <c r="K85" s="4">
        <f t="shared" si="33"/>
        <v>-20.175502882474444</v>
      </c>
      <c r="L85" s="4">
        <f t="shared" si="34"/>
        <v>21.103068766951985</v>
      </c>
      <c r="M85" s="4">
        <f t="shared" si="35"/>
        <v>-16.777319468485015</v>
      </c>
    </row>
    <row r="86" spans="1:13">
      <c r="A86" s="4" cm="1">
        <f t="array" ref="A86">A85+Table4[Salto]</f>
        <v>-0.48939383045871654</v>
      </c>
      <c r="B86" s="4">
        <f t="shared" si="24"/>
        <v>-2.8073234317928866E-2</v>
      </c>
      <c r="C86" s="4">
        <f t="shared" si="25"/>
        <v>-8.5117181629097729</v>
      </c>
      <c r="D86" s="4">
        <f t="shared" si="26"/>
        <v>-18.819624262057438</v>
      </c>
      <c r="E86" s="4">
        <f t="shared" si="27"/>
        <v>46.105767427978208</v>
      </c>
      <c r="F86" s="4">
        <f t="shared" si="28"/>
        <v>-51.035531156076871</v>
      </c>
      <c r="G86" s="4">
        <f t="shared" si="29"/>
        <v>39.610917760398308</v>
      </c>
      <c r="H86" s="4">
        <f t="shared" si="30"/>
        <v>-22.968037010116131</v>
      </c>
      <c r="I86" s="4">
        <f t="shared" si="31"/>
        <v>6.2508833102625818</v>
      </c>
      <c r="J86" s="4">
        <f t="shared" si="32"/>
        <v>7.4839354772027864</v>
      </c>
      <c r="K86" s="4">
        <f t="shared" si="33"/>
        <v>-16.480958414774186</v>
      </c>
      <c r="L86" s="4">
        <f t="shared" si="34"/>
        <v>20.116630506498847</v>
      </c>
      <c r="M86" s="4">
        <f t="shared" si="35"/>
        <v>-18.775701802225878</v>
      </c>
    </row>
    <row r="87" spans="1:13">
      <c r="A87" s="4" cm="1">
        <f t="array" ref="A87">A86+Table4[Salto]</f>
        <v>-0.45782003494525125</v>
      </c>
      <c r="B87" s="4">
        <f t="shared" si="24"/>
        <v>-2.011286649775099E-2</v>
      </c>
      <c r="C87" s="4">
        <f t="shared" si="25"/>
        <v>-9.2992448244949237</v>
      </c>
      <c r="D87" s="4">
        <f t="shared" si="26"/>
        <v>-17.694778068460813</v>
      </c>
      <c r="E87" s="4">
        <f t="shared" si="27"/>
        <v>44.057301539194455</v>
      </c>
      <c r="F87" s="4">
        <f t="shared" si="28"/>
        <v>-50.309692714245948</v>
      </c>
      <c r="G87" s="4">
        <f t="shared" si="29"/>
        <v>41.327578514786367</v>
      </c>
      <c r="H87" s="4">
        <f t="shared" si="30"/>
        <v>-27.016508106882693</v>
      </c>
      <c r="I87" s="4">
        <f t="shared" si="31"/>
        <v>11.793892374460459</v>
      </c>
      <c r="J87" s="4">
        <f t="shared" si="32"/>
        <v>1.6845716568633271</v>
      </c>
      <c r="K87" s="4">
        <f t="shared" si="33"/>
        <v>-11.740476468758887</v>
      </c>
      <c r="L87" s="4">
        <f t="shared" si="34"/>
        <v>17.516690427334836</v>
      </c>
      <c r="M87" s="4">
        <f t="shared" si="35"/>
        <v>-18.917823978786029</v>
      </c>
    </row>
    <row r="88" spans="1:13">
      <c r="A88" s="4" cm="1">
        <f t="array" ref="A88">A87+Table4[Salto]</f>
        <v>-0.42624623943178597</v>
      </c>
      <c r="B88" s="4">
        <f t="shared" si="24"/>
        <v>-1.4070282014900567E-2</v>
      </c>
      <c r="C88" s="4">
        <f t="shared" si="25"/>
        <v>-9.0736255148304839</v>
      </c>
      <c r="D88" s="4">
        <f t="shared" si="26"/>
        <v>-16.552293335265659</v>
      </c>
      <c r="E88" s="4">
        <f t="shared" si="27"/>
        <v>41.833210322838234</v>
      </c>
      <c r="F88" s="4">
        <f t="shared" si="28"/>
        <v>-49.132806002688696</v>
      </c>
      <c r="G88" s="4">
        <f t="shared" si="29"/>
        <v>42.38592058301591</v>
      </c>
      <c r="H88" s="4">
        <f t="shared" si="30"/>
        <v>-30.393054449183555</v>
      </c>
      <c r="I88" s="4">
        <f t="shared" si="31"/>
        <v>16.914899927801088</v>
      </c>
      <c r="J88" s="4">
        <f t="shared" si="32"/>
        <v>-4.1967462385584309</v>
      </c>
      <c r="K88" s="4">
        <f t="shared" si="33"/>
        <v>-6.2549040951782491</v>
      </c>
      <c r="L88" s="4">
        <f t="shared" si="34"/>
        <v>13.511782858552261</v>
      </c>
      <c r="M88" s="4">
        <f t="shared" si="35"/>
        <v>-17.189635086163385</v>
      </c>
    </row>
    <row r="89" spans="1:13">
      <c r="A89" s="4" cm="1">
        <f t="array" ref="A89">A88+Table4[Salto]</f>
        <v>-0.39467244391832068</v>
      </c>
      <c r="B89" s="4">
        <f t="shared" si="24"/>
        <v>-9.5759975168675879E-3</v>
      </c>
      <c r="C89" s="4">
        <f t="shared" si="25"/>
        <v>-7.8654444644003938</v>
      </c>
      <c r="D89" s="4">
        <f t="shared" si="26"/>
        <v>-15.393308916100391</v>
      </c>
      <c r="E89" s="4">
        <f t="shared" si="27"/>
        <v>39.442359658906199</v>
      </c>
      <c r="F89" s="4">
        <f t="shared" si="28"/>
        <v>-47.51542232248196</v>
      </c>
      <c r="G89" s="4">
        <f t="shared" si="29"/>
        <v>42.769085334968707</v>
      </c>
      <c r="H89" s="4">
        <f t="shared" si="30"/>
        <v>-33.013698305217972</v>
      </c>
      <c r="I89" s="4">
        <f t="shared" si="31"/>
        <v>21.430669354584904</v>
      </c>
      <c r="J89" s="4">
        <f t="shared" si="32"/>
        <v>-9.8738932666057853</v>
      </c>
      <c r="K89" s="4">
        <f t="shared" si="33"/>
        <v>-0.37237430857796688</v>
      </c>
      <c r="L89" s="4">
        <f t="shared" si="34"/>
        <v>8.4231308620307868</v>
      </c>
      <c r="M89" s="4">
        <f t="shared" si="35"/>
        <v>-13.761992555906915</v>
      </c>
    </row>
    <row r="90" spans="1:13">
      <c r="A90" s="4" cm="1">
        <f t="array" ref="A90">A89+Table4[Salto]</f>
        <v>-0.3630986484048554</v>
      </c>
      <c r="B90" s="4">
        <f t="shared" si="24"/>
        <v>-6.3113630295765404E-3</v>
      </c>
      <c r="C90" s="4">
        <f t="shared" si="25"/>
        <v>-5.8111928593692861</v>
      </c>
      <c r="D90" s="4">
        <f t="shared" si="26"/>
        <v>-14.218980111839223</v>
      </c>
      <c r="E90" s="4">
        <f t="shared" si="27"/>
        <v>36.894280179469796</v>
      </c>
      <c r="F90" s="4">
        <f t="shared" si="28"/>
        <v>-45.472042221553643</v>
      </c>
      <c r="G90" s="4">
        <f t="shared" si="29"/>
        <v>42.470969230946729</v>
      </c>
      <c r="H90" s="4">
        <f t="shared" si="30"/>
        <v>-34.813261915057048</v>
      </c>
      <c r="I90" s="4">
        <f t="shared" si="31"/>
        <v>25.179620282507294</v>
      </c>
      <c r="J90" s="4">
        <f t="shared" si="32"/>
        <v>-15.070677356793535</v>
      </c>
      <c r="K90" s="4">
        <f t="shared" si="33"/>
        <v>5.5337876136967923</v>
      </c>
      <c r="L90" s="4">
        <f t="shared" si="34"/>
        <v>2.658881778773754</v>
      </c>
      <c r="M90" s="4">
        <f t="shared" si="35"/>
        <v>-8.9737703395202022</v>
      </c>
    </row>
    <row r="91" spans="1:13">
      <c r="A91" s="4" cm="1">
        <f t="array" ref="A91">A90+Table4[Salto]</f>
        <v>-0.33152485289139011</v>
      </c>
      <c r="B91" s="4">
        <f t="shared" si="24"/>
        <v>-4.0047965219468145E-3</v>
      </c>
      <c r="C91" s="4">
        <f t="shared" si="25"/>
        <v>-3.1378957588290186</v>
      </c>
      <c r="D91" s="4">
        <f t="shared" si="26"/>
        <v>-13.030477518973132</v>
      </c>
      <c r="E91" s="4">
        <f t="shared" si="27"/>
        <v>34.199129276780056</v>
      </c>
      <c r="F91" s="4">
        <f t="shared" si="28"/>
        <v>-43.020985490965721</v>
      </c>
      <c r="G91" s="4">
        <f t="shared" si="29"/>
        <v>41.496321046682212</v>
      </c>
      <c r="H91" s="4">
        <f t="shared" si="30"/>
        <v>-35.746988519910815</v>
      </c>
      <c r="I91" s="4">
        <f t="shared" si="31"/>
        <v>28.027610148156452</v>
      </c>
      <c r="J91" s="4">
        <f t="shared" si="32"/>
        <v>-19.534275999744608</v>
      </c>
      <c r="K91" s="4">
        <f t="shared" si="33"/>
        <v>11.088756618876852</v>
      </c>
      <c r="L91" s="4">
        <f t="shared" si="34"/>
        <v>-3.3186291916766977</v>
      </c>
      <c r="M91" s="4">
        <f t="shared" si="35"/>
        <v>-3.2983561280536162</v>
      </c>
    </row>
    <row r="92" spans="1:13">
      <c r="A92" s="4" cm="1">
        <f t="array" ref="A92">A91+Table4[Salto]</f>
        <v>-0.29995105737792482</v>
      </c>
      <c r="B92" s="4">
        <f t="shared" si="24"/>
        <v>-2.4280184704531201E-3</v>
      </c>
      <c r="C92" s="4">
        <f t="shared" si="25"/>
        <v>-0.13816945323545227</v>
      </c>
      <c r="D92" s="4">
        <f t="shared" si="26"/>
        <v>-11.828985862733834</v>
      </c>
      <c r="E92" s="4">
        <f t="shared" si="27"/>
        <v>31.367650612922638</v>
      </c>
      <c r="F92" s="4">
        <f t="shared" si="28"/>
        <v>-40.184226920021956</v>
      </c>
      <c r="G92" s="4">
        <f t="shared" si="29"/>
        <v>39.860666228745949</v>
      </c>
      <c r="H92" s="4">
        <f t="shared" si="30"/>
        <v>-35.791655502806627</v>
      </c>
      <c r="I92" s="4">
        <f t="shared" si="31"/>
        <v>29.872734000388984</v>
      </c>
      <c r="J92" s="4">
        <f t="shared" si="32"/>
        <v>-23.04753601184035</v>
      </c>
      <c r="K92" s="4">
        <f t="shared" si="33"/>
        <v>15.939995546975945</v>
      </c>
      <c r="L92" s="4">
        <f t="shared" si="34"/>
        <v>-9.0299616768849358</v>
      </c>
      <c r="M92" s="4">
        <f t="shared" si="35"/>
        <v>2.7031501320187346</v>
      </c>
    </row>
    <row r="93" spans="1:13">
      <c r="A93" s="4" cm="1">
        <f t="array" ref="A93">A92+Table4[Salto]</f>
        <v>-0.26837726186445954</v>
      </c>
      <c r="B93" s="4">
        <f t="shared" si="24"/>
        <v>-1.3922864236858813E-3</v>
      </c>
      <c r="C93" s="4">
        <f t="shared" si="25"/>
        <v>2.861582579592973</v>
      </c>
      <c r="D93" s="4">
        <f t="shared" si="26"/>
        <v>-10.61570281613389</v>
      </c>
      <c r="E93" s="4">
        <f t="shared" si="27"/>
        <v>28.411131292429168</v>
      </c>
      <c r="F93" s="4">
        <f t="shared" si="28"/>
        <v>-36.987199282727204</v>
      </c>
      <c r="G93" s="4">
        <f t="shared" si="29"/>
        <v>37.590059585318087</v>
      </c>
      <c r="H93" s="4">
        <f t="shared" si="30"/>
        <v>-34.946151955873049</v>
      </c>
      <c r="I93" s="4">
        <f t="shared" si="31"/>
        <v>30.648970798089813</v>
      </c>
      <c r="J93" s="4">
        <f t="shared" si="32"/>
        <v>-25.439537994287733</v>
      </c>
      <c r="K93" s="4">
        <f t="shared" si="33"/>
        <v>19.779628333783442</v>
      </c>
      <c r="L93" s="4">
        <f t="shared" si="34"/>
        <v>-14.017024777921876</v>
      </c>
      <c r="M93" s="4">
        <f t="shared" si="35"/>
        <v>8.4374093969162125</v>
      </c>
    </row>
    <row r="94" spans="1:13">
      <c r="A94" s="4" cm="1">
        <f t="array" ref="A94">A93+Table4[Salto]</f>
        <v>-0.23680346635099428</v>
      </c>
      <c r="B94" s="4">
        <f t="shared" si="24"/>
        <v>-7.4462956691165295E-4</v>
      </c>
      <c r="C94" s="4">
        <f t="shared" si="25"/>
        <v>5.5364154289671621</v>
      </c>
      <c r="D94" s="4">
        <f t="shared" si="26"/>
        <v>-9.3918378061002095</v>
      </c>
      <c r="E94" s="4">
        <f t="shared" si="27"/>
        <v>25.341356868567683</v>
      </c>
      <c r="F94" s="4">
        <f t="shared" si="28"/>
        <v>-33.45856532191037</v>
      </c>
      <c r="G94" s="4">
        <f t="shared" si="29"/>
        <v>34.720670251779964</v>
      </c>
      <c r="H94" s="4">
        <f t="shared" si="30"/>
        <v>-33.231506309613586</v>
      </c>
      <c r="I94" s="4">
        <f t="shared" si="31"/>
        <v>30.32854573282318</v>
      </c>
      <c r="J94" s="4">
        <f t="shared" si="32"/>
        <v>-26.593911527777017</v>
      </c>
      <c r="K94" s="4">
        <f t="shared" si="33"/>
        <v>22.363978869353641</v>
      </c>
      <c r="L94" s="4">
        <f t="shared" si="34"/>
        <v>-17.87981933086445</v>
      </c>
      <c r="M94" s="4">
        <f t="shared" si="35"/>
        <v>13.337504002708327</v>
      </c>
    </row>
    <row r="95" spans="1:13">
      <c r="A95" s="4" cm="1">
        <f t="array" ref="A95">A94+Table4[Salto]</f>
        <v>-0.20522967083752902</v>
      </c>
      <c r="B95" s="4">
        <f t="shared" si="24"/>
        <v>-3.6408328663352466E-4</v>
      </c>
      <c r="C95" s="4">
        <f t="shared" si="25"/>
        <v>7.5977631823087659</v>
      </c>
      <c r="D95" s="4">
        <f t="shared" si="26"/>
        <v>-8.158610807890982</v>
      </c>
      <c r="E95" s="4">
        <f t="shared" si="27"/>
        <v>22.170564362670149</v>
      </c>
      <c r="F95" s="4">
        <f t="shared" si="28"/>
        <v>-29.629960775272409</v>
      </c>
      <c r="G95" s="4">
        <f t="shared" si="29"/>
        <v>31.298205542327505</v>
      </c>
      <c r="H95" s="4">
        <f t="shared" si="30"/>
        <v>-30.690363337005593</v>
      </c>
      <c r="I95" s="4">
        <f t="shared" si="31"/>
        <v>28.922924049256892</v>
      </c>
      <c r="J95" s="4">
        <f t="shared" si="32"/>
        <v>-26.454496570168633</v>
      </c>
      <c r="K95" s="4">
        <f t="shared" si="33"/>
        <v>23.529035509810704</v>
      </c>
      <c r="L95" s="4">
        <f t="shared" si="34"/>
        <v>-20.308520783610572</v>
      </c>
      <c r="M95" s="4">
        <f t="shared" si="35"/>
        <v>16.918985992191704</v>
      </c>
    </row>
    <row r="96" spans="1:13">
      <c r="A96" s="4" cm="1">
        <f t="array" ref="A96">A95+Table4[Salto]</f>
        <v>-0.17365587532406376</v>
      </c>
      <c r="B96" s="4">
        <f t="shared" si="24"/>
        <v>-1.5792373515153001E-4</v>
      </c>
      <c r="C96" s="4">
        <f t="shared" si="25"/>
        <v>8.8243185841736498</v>
      </c>
      <c r="D96" s="4">
        <f t="shared" si="26"/>
        <v>-6.9172511289978162</v>
      </c>
      <c r="E96" s="4">
        <f t="shared" si="27"/>
        <v>18.911393483775878</v>
      </c>
      <c r="F96" s="4">
        <f t="shared" si="28"/>
        <v>-25.535710747242724</v>
      </c>
      <c r="G96" s="4">
        <f t="shared" si="29"/>
        <v>27.377182865236744</v>
      </c>
      <c r="H96" s="4">
        <f t="shared" si="30"/>
        <v>-27.385923539800682</v>
      </c>
      <c r="I96" s="4">
        <f t="shared" si="31"/>
        <v>26.48240080311345</v>
      </c>
      <c r="J96" s="4">
        <f t="shared" si="32"/>
        <v>-25.028075631340901</v>
      </c>
      <c r="K96" s="4">
        <f t="shared" si="33"/>
        <v>23.200859812137779</v>
      </c>
      <c r="L96" s="4">
        <f t="shared" si="34"/>
        <v>-21.108329405169222</v>
      </c>
      <c r="M96" s="4">
        <f t="shared" si="35"/>
        <v>18.827772072461144</v>
      </c>
    </row>
    <row r="97" spans="1:13">
      <c r="A97" s="4" cm="1">
        <f t="array" ref="A97">A96+Table4[Salto]</f>
        <v>-0.1420820798105985</v>
      </c>
      <c r="B97" s="4">
        <f t="shared" si="24"/>
        <v>-5.7902395123054097E-5</v>
      </c>
      <c r="C97" s="4">
        <f t="shared" si="25"/>
        <v>9.085599852033873</v>
      </c>
      <c r="D97" s="4">
        <f t="shared" si="26"/>
        <v>-5.6689961837452936</v>
      </c>
      <c r="E97" s="4">
        <f t="shared" si="27"/>
        <v>15.576836243043594</v>
      </c>
      <c r="F97" s="4">
        <f t="shared" si="28"/>
        <v>-21.212521969493455</v>
      </c>
      <c r="G97" s="4">
        <f t="shared" si="29"/>
        <v>23.020061299649146</v>
      </c>
      <c r="H97" s="4">
        <f t="shared" si="30"/>
        <v>-23.400371295439477</v>
      </c>
      <c r="I97" s="4">
        <f t="shared" si="31"/>
        <v>23.094301235666471</v>
      </c>
      <c r="J97" s="4">
        <f t="shared" si="32"/>
        <v>-22.384043805437408</v>
      </c>
      <c r="K97" s="4">
        <f t="shared" si="33"/>
        <v>21.400278918363252</v>
      </c>
      <c r="L97" s="4">
        <f t="shared" si="34"/>
        <v>-20.215094657750857</v>
      </c>
      <c r="M97" s="4">
        <f t="shared" si="35"/>
        <v>18.875150067177898</v>
      </c>
    </row>
    <row r="98" spans="1:13">
      <c r="A98" s="4" cm="1">
        <f t="array" ref="A98">A97+Table4[Salto]</f>
        <v>-0.11050828429713325</v>
      </c>
      <c r="B98" s="4">
        <f t="shared" ref="B98:B129" si="36">A98^5</f>
        <v>-1.6480644123240315E-5</v>
      </c>
      <c r="C98" s="4">
        <f t="shared" ref="C98:C129" si="37">SUM(D98:M98)</f>
        <v>8.3557196509599301</v>
      </c>
      <c r="D98" s="4">
        <f t="shared" ref="D98:D129" si="38">$P$2*SIN($O$2*$A98)</f>
        <v>-4.4150902598094532</v>
      </c>
      <c r="E98" s="4">
        <f t="shared" ref="E98:E129" si="39">$P$3*SIN($O$3*$A98)</f>
        <v>12.180185163783918</v>
      </c>
      <c r="F98" s="4">
        <f t="shared" ref="F98:F129" si="40">$P$4*SIN($O$4*$A98)</f>
        <v>-16.699153709130048</v>
      </c>
      <c r="G98" s="4">
        <f t="shared" ref="G98:G129" si="41">$P$5*SIN($O$5*$A98)</f>
        <v>18.296246667235692</v>
      </c>
      <c r="H98" s="4">
        <f t="shared" ref="H98:H129" si="42">$P$6*SIN($O$6*$A98)</f>
        <v>-18.832830857974642</v>
      </c>
      <c r="I98" s="4">
        <f t="shared" ref="I98:I129" si="43">$P$7*SIN($O$7*$A98)</f>
        <v>18.87985615783073</v>
      </c>
      <c r="J98" s="4">
        <f t="shared" ref="J98:J129" si="44">$P$8*SIN($O$8*$A98)</f>
        <v>-18.65103271337923</v>
      </c>
      <c r="K98" s="4">
        <f t="shared" ref="K98:K129" si="45">$P$9*SIN($O$9*$A98)</f>
        <v>18.241563794540188</v>
      </c>
      <c r="L98" s="4">
        <f t="shared" ref="L98:L129" si="46">$P$10*SIN($O$10*$A98)</f>
        <v>-17.700460542025954</v>
      </c>
      <c r="M98" s="4">
        <f t="shared" ref="M98:M129" si="47">$P$11*SIN($O$11*$A98)</f>
        <v>17.05643594988873</v>
      </c>
    </row>
    <row r="99" spans="1:13">
      <c r="A99" s="4" cm="1">
        <f t="array" ref="A99">A98+Table4[Salto]</f>
        <v>-7.8934488783667989E-2</v>
      </c>
      <c r="B99" s="4">
        <f t="shared" si="36"/>
        <v>-3.0643192053983758E-6</v>
      </c>
      <c r="C99" s="4">
        <f t="shared" si="37"/>
        <v>6.7159181028602459</v>
      </c>
      <c r="D99" s="4">
        <f t="shared" si="38"/>
        <v>-3.1567832778847871</v>
      </c>
      <c r="E99" s="4">
        <f t="shared" si="39"/>
        <v>8.7349802935622645</v>
      </c>
      <c r="F99" s="4">
        <f t="shared" si="40"/>
        <v>-12.036070275009187</v>
      </c>
      <c r="G99" s="4">
        <f t="shared" si="41"/>
        <v>13.280985947234571</v>
      </c>
      <c r="H99" s="4">
        <f t="shared" si="42"/>
        <v>-13.796901049090096</v>
      </c>
      <c r="I99" s="4">
        <f t="shared" si="43"/>
        <v>13.98986414685311</v>
      </c>
      <c r="J99" s="4">
        <f t="shared" si="44"/>
        <v>-14.010652600165507</v>
      </c>
      <c r="K99" s="4">
        <f t="shared" si="45"/>
        <v>13.925177207953132</v>
      </c>
      <c r="L99" s="4">
        <f t="shared" si="46"/>
        <v>-13.766119220993863</v>
      </c>
      <c r="M99" s="4">
        <f t="shared" si="47"/>
        <v>13.551436930400609</v>
      </c>
    </row>
    <row r="100" spans="1:13">
      <c r="A100" s="4" cm="1">
        <f t="array" ref="A100">A99+Table4[Salto]</f>
        <v>-4.7360693270202731E-2</v>
      </c>
      <c r="B100" s="4">
        <f t="shared" si="36"/>
        <v>-2.3828146141182646E-7</v>
      </c>
      <c r="C100" s="4">
        <f t="shared" si="37"/>
        <v>4.3456175415960416</v>
      </c>
      <c r="D100" s="4">
        <f t="shared" si="38"/>
        <v>-1.8953295457360997</v>
      </c>
      <c r="E100" s="4">
        <f t="shared" si="39"/>
        <v>5.2549552295974404</v>
      </c>
      <c r="F100" s="4">
        <f t="shared" si="40"/>
        <v>-7.2650782376161391</v>
      </c>
      <c r="G100" s="4">
        <f t="shared" si="41"/>
        <v>8.0541686460380379</v>
      </c>
      <c r="H100" s="4">
        <f t="shared" si="42"/>
        <v>-8.4178299536587637</v>
      </c>
      <c r="I100" s="4">
        <f t="shared" si="43"/>
        <v>8.599295768107023</v>
      </c>
      <c r="J100" s="4">
        <f t="shared" si="44"/>
        <v>-8.6886570326802861</v>
      </c>
      <c r="K100" s="4">
        <f t="shared" si="45"/>
        <v>8.7250516804972005</v>
      </c>
      <c r="L100" s="4">
        <f t="shared" si="46"/>
        <v>-8.72763382411922</v>
      </c>
      <c r="M100" s="4">
        <f t="shared" si="47"/>
        <v>8.7066748111668488</v>
      </c>
    </row>
    <row r="101" spans="1:13">
      <c r="A101" s="4" cm="1">
        <f t="array" ref="A101">A100+Table4[Salto]</f>
        <v>-1.5786897756737472E-2</v>
      </c>
      <c r="B101" s="4">
        <f t="shared" si="36"/>
        <v>-9.8058214572868375E-10</v>
      </c>
      <c r="C101" s="4">
        <f t="shared" si="37"/>
        <v>1.5029753757485318</v>
      </c>
      <c r="D101" s="4">
        <f t="shared" si="38"/>
        <v>-0.63198650787725419</v>
      </c>
      <c r="E101" s="4">
        <f t="shared" si="39"/>
        <v>1.7539823726145696</v>
      </c>
      <c r="F101" s="4">
        <f t="shared" si="40"/>
        <v>-2.4289516149829131</v>
      </c>
      <c r="G101" s="4">
        <f t="shared" si="41"/>
        <v>2.6990542146512664</v>
      </c>
      <c r="H101" s="4">
        <f t="shared" si="42"/>
        <v>-2.829399887691002</v>
      </c>
      <c r="I101" s="4">
        <f t="shared" si="43"/>
        <v>2.9010328902736022</v>
      </c>
      <c r="J101" s="4">
        <f t="shared" si="44"/>
        <v>-2.9439600336950282</v>
      </c>
      <c r="K101" s="4">
        <f t="shared" si="45"/>
        <v>2.9712048024257123</v>
      </c>
      <c r="L101" s="4">
        <f t="shared" si="46"/>
        <v>-2.9891279619032503</v>
      </c>
      <c r="M101" s="4">
        <f t="shared" si="47"/>
        <v>3.0011271019328292</v>
      </c>
    </row>
    <row r="102" spans="1:13">
      <c r="A102" s="4" cm="1">
        <f t="array" ref="A102">A101+Table4[Salto]</f>
        <v>1.5786897756727786E-2</v>
      </c>
      <c r="B102" s="4">
        <f t="shared" si="36"/>
        <v>9.8058214572567529E-10</v>
      </c>
      <c r="C102" s="4">
        <f t="shared" si="37"/>
        <v>-1.5029753757476176</v>
      </c>
      <c r="D102" s="4">
        <f t="shared" si="38"/>
        <v>0.63198650787686639</v>
      </c>
      <c r="E102" s="4">
        <f t="shared" si="39"/>
        <v>-1.7539823726134935</v>
      </c>
      <c r="F102" s="4">
        <f t="shared" si="40"/>
        <v>2.4289516149814241</v>
      </c>
      <c r="G102" s="4">
        <f t="shared" si="41"/>
        <v>-2.6990542146496121</v>
      </c>
      <c r="H102" s="4">
        <f t="shared" si="42"/>
        <v>2.8293998876892696</v>
      </c>
      <c r="I102" s="4">
        <f t="shared" si="43"/>
        <v>-2.9010328902718272</v>
      </c>
      <c r="J102" s="4">
        <f t="shared" si="44"/>
        <v>2.9439600336932292</v>
      </c>
      <c r="K102" s="4">
        <f t="shared" si="45"/>
        <v>-2.9712048024238986</v>
      </c>
      <c r="L102" s="4">
        <f t="shared" si="46"/>
        <v>2.9891279619014282</v>
      </c>
      <c r="M102" s="4">
        <f t="shared" si="47"/>
        <v>-3.0011271019310035</v>
      </c>
    </row>
    <row r="103" spans="1:13">
      <c r="A103" s="4" cm="1">
        <f t="array" ref="A103">A102+Table4[Salto]</f>
        <v>4.7360693270193044E-2</v>
      </c>
      <c r="B103" s="4">
        <f t="shared" si="36"/>
        <v>2.3828146141158275E-7</v>
      </c>
      <c r="C103" s="4">
        <f t="shared" si="37"/>
        <v>-4.3456175415952281</v>
      </c>
      <c r="D103" s="4">
        <f t="shared" si="38"/>
        <v>1.8953295457357122</v>
      </c>
      <c r="E103" s="4">
        <f t="shared" si="39"/>
        <v>-5.2549552295963693</v>
      </c>
      <c r="F103" s="4">
        <f t="shared" si="40"/>
        <v>7.2650782376146639</v>
      </c>
      <c r="G103" s="4">
        <f t="shared" si="41"/>
        <v>-8.0541686460364108</v>
      </c>
      <c r="H103" s="4">
        <f t="shared" si="42"/>
        <v>8.4178299536570744</v>
      </c>
      <c r="I103" s="4">
        <f t="shared" si="43"/>
        <v>-8.5992957681053106</v>
      </c>
      <c r="J103" s="4">
        <f t="shared" si="44"/>
        <v>8.6886570326785737</v>
      </c>
      <c r="K103" s="4">
        <f t="shared" si="45"/>
        <v>-8.7250516804955023</v>
      </c>
      <c r="L103" s="4">
        <f t="shared" si="46"/>
        <v>8.7276338241175431</v>
      </c>
      <c r="M103" s="4">
        <f t="shared" si="47"/>
        <v>-8.7066748111652021</v>
      </c>
    </row>
    <row r="104" spans="1:13">
      <c r="A104" s="4" cm="1">
        <f t="array" ref="A104">A103+Table4[Salto]</f>
        <v>7.8934488783658302E-2</v>
      </c>
      <c r="B104" s="4">
        <f t="shared" si="36"/>
        <v>3.0643192053964958E-6</v>
      </c>
      <c r="C104" s="4">
        <f t="shared" si="37"/>
        <v>-6.7159181028596127</v>
      </c>
      <c r="D104" s="4">
        <f t="shared" si="38"/>
        <v>3.1567832778844003</v>
      </c>
      <c r="E104" s="4">
        <f t="shared" si="39"/>
        <v>-8.7349802935612004</v>
      </c>
      <c r="F104" s="4">
        <f t="shared" si="40"/>
        <v>12.036070275007738</v>
      </c>
      <c r="G104" s="4">
        <f t="shared" si="41"/>
        <v>-13.280985947232995</v>
      </c>
      <c r="H104" s="4">
        <f t="shared" si="42"/>
        <v>13.79690104908849</v>
      </c>
      <c r="I104" s="4">
        <f t="shared" si="43"/>
        <v>-13.989864146851524</v>
      </c>
      <c r="J104" s="4">
        <f t="shared" si="44"/>
        <v>14.010652600163969</v>
      </c>
      <c r="K104" s="4">
        <f t="shared" si="45"/>
        <v>-13.925177207951654</v>
      </c>
      <c r="L104" s="4">
        <f t="shared" si="46"/>
        <v>13.766119220992469</v>
      </c>
      <c r="M104" s="4">
        <f t="shared" si="47"/>
        <v>-13.551436930399305</v>
      </c>
    </row>
    <row r="105" spans="1:13">
      <c r="A105" s="4" cm="1">
        <f t="array" ref="A105">A104+Table4[Salto]</f>
        <v>0.11050828429712356</v>
      </c>
      <c r="B105" s="4">
        <f t="shared" si="36"/>
        <v>1.6480644123233092E-5</v>
      </c>
      <c r="C105" s="4">
        <f t="shared" si="37"/>
        <v>-8.3557196509595606</v>
      </c>
      <c r="D105" s="4">
        <f t="shared" si="38"/>
        <v>4.4150902598090678</v>
      </c>
      <c r="E105" s="4">
        <f t="shared" si="39"/>
        <v>-12.180185163782868</v>
      </c>
      <c r="F105" s="4">
        <f t="shared" si="40"/>
        <v>16.699153709128634</v>
      </c>
      <c r="G105" s="4">
        <f t="shared" si="41"/>
        <v>-18.296246667234197</v>
      </c>
      <c r="H105" s="4">
        <f t="shared" si="42"/>
        <v>18.832830857973164</v>
      </c>
      <c r="I105" s="4">
        <f t="shared" si="43"/>
        <v>-18.879856157829323</v>
      </c>
      <c r="J105" s="4">
        <f t="shared" si="44"/>
        <v>18.651032713377937</v>
      </c>
      <c r="K105" s="4">
        <f t="shared" si="45"/>
        <v>-18.241563794539029</v>
      </c>
      <c r="L105" s="4">
        <f t="shared" si="46"/>
        <v>17.700460542024953</v>
      </c>
      <c r="M105" s="4">
        <f t="shared" si="47"/>
        <v>-17.056435949887899</v>
      </c>
    </row>
    <row r="106" spans="1:13">
      <c r="A106" s="4" cm="1">
        <f t="array" ref="A106">A105+Table4[Salto]</f>
        <v>0.14208207981058882</v>
      </c>
      <c r="B106" s="4">
        <f t="shared" si="36"/>
        <v>5.7902395123034344E-5</v>
      </c>
      <c r="C106" s="4">
        <f t="shared" si="37"/>
        <v>-9.0855998520338019</v>
      </c>
      <c r="D106" s="4">
        <f t="shared" si="38"/>
        <v>5.668996183744909</v>
      </c>
      <c r="E106" s="4">
        <f t="shared" si="39"/>
        <v>-15.57683624304256</v>
      </c>
      <c r="F106" s="4">
        <f t="shared" si="40"/>
        <v>21.212521969492094</v>
      </c>
      <c r="G106" s="4">
        <f t="shared" si="41"/>
        <v>-23.02006129964775</v>
      </c>
      <c r="H106" s="4">
        <f t="shared" si="42"/>
        <v>23.400371295438159</v>
      </c>
      <c r="I106" s="4">
        <f t="shared" si="43"/>
        <v>-23.094301235665295</v>
      </c>
      <c r="J106" s="4">
        <f t="shared" si="44"/>
        <v>22.38404380543642</v>
      </c>
      <c r="K106" s="4">
        <f t="shared" si="45"/>
        <v>-21.400278918362485</v>
      </c>
      <c r="L106" s="4">
        <f t="shared" si="46"/>
        <v>20.215094657750331</v>
      </c>
      <c r="M106" s="4">
        <f t="shared" si="47"/>
        <v>-18.875150067177625</v>
      </c>
    </row>
    <row r="107" spans="1:13">
      <c r="A107" s="4" cm="1">
        <f t="array" ref="A107">A106+Table4[Salto]</f>
        <v>0.17365587532405408</v>
      </c>
      <c r="B107" s="4">
        <f t="shared" si="36"/>
        <v>1.5792373515148594E-4</v>
      </c>
      <c r="C107" s="4">
        <f t="shared" si="37"/>
        <v>-8.8243185841738843</v>
      </c>
      <c r="D107" s="4">
        <f t="shared" si="38"/>
        <v>6.9172511289974352</v>
      </c>
      <c r="E107" s="4">
        <f t="shared" si="39"/>
        <v>-18.911393483774866</v>
      </c>
      <c r="F107" s="4">
        <f t="shared" si="40"/>
        <v>25.535710747241431</v>
      </c>
      <c r="G107" s="4">
        <f t="shared" si="41"/>
        <v>-27.377182865235472</v>
      </c>
      <c r="H107" s="4">
        <f t="shared" si="42"/>
        <v>27.385923539799556</v>
      </c>
      <c r="I107" s="4">
        <f t="shared" si="43"/>
        <v>-26.482400803112551</v>
      </c>
      <c r="J107" s="4">
        <f t="shared" si="44"/>
        <v>25.028075631340272</v>
      </c>
      <c r="K107" s="4">
        <f t="shared" si="45"/>
        <v>-23.200859812137448</v>
      </c>
      <c r="L107" s="4">
        <f t="shared" si="46"/>
        <v>21.108329405169208</v>
      </c>
      <c r="M107" s="4">
        <f t="shared" si="47"/>
        <v>-18.82777207246145</v>
      </c>
    </row>
    <row r="108" spans="1:13">
      <c r="A108" s="4" cm="1">
        <f t="array" ref="A108">A107+Table4[Salto]</f>
        <v>0.20522967083751933</v>
      </c>
      <c r="B108" s="4">
        <f t="shared" si="36"/>
        <v>3.6408328663343874E-4</v>
      </c>
      <c r="C108" s="4">
        <f t="shared" si="37"/>
        <v>-7.597763182309281</v>
      </c>
      <c r="D108" s="4">
        <f t="shared" si="38"/>
        <v>8.1586108078906019</v>
      </c>
      <c r="E108" s="4">
        <f t="shared" si="39"/>
        <v>-22.170564362669161</v>
      </c>
      <c r="F108" s="4">
        <f t="shared" si="40"/>
        <v>29.62996077527119</v>
      </c>
      <c r="G108" s="4">
        <f t="shared" si="41"/>
        <v>-31.298205542326372</v>
      </c>
      <c r="H108" s="4">
        <f t="shared" si="42"/>
        <v>30.69036333700469</v>
      </c>
      <c r="I108" s="4">
        <f t="shared" si="43"/>
        <v>-28.922924049256299</v>
      </c>
      <c r="J108" s="4">
        <f t="shared" si="44"/>
        <v>26.454496570168388</v>
      </c>
      <c r="K108" s="4">
        <f t="shared" si="45"/>
        <v>-23.529035509810832</v>
      </c>
      <c r="L108" s="4">
        <f t="shared" si="46"/>
        <v>20.308520783611073</v>
      </c>
      <c r="M108" s="4">
        <f t="shared" si="47"/>
        <v>-16.91898599219256</v>
      </c>
    </row>
    <row r="109" spans="1:13">
      <c r="A109" s="4" cm="1">
        <f t="array" ref="A109">A108+Table4[Salto]</f>
        <v>0.23680346635098459</v>
      </c>
      <c r="B109" s="4">
        <f t="shared" si="36"/>
        <v>7.4462956691150062E-4</v>
      </c>
      <c r="C109" s="4">
        <f t="shared" si="37"/>
        <v>-5.536415428967894</v>
      </c>
      <c r="D109" s="4">
        <f t="shared" si="38"/>
        <v>9.3918378060998311</v>
      </c>
      <c r="E109" s="4">
        <f t="shared" si="39"/>
        <v>-25.341356868566724</v>
      </c>
      <c r="F109" s="4">
        <f t="shared" si="40"/>
        <v>33.458565321909234</v>
      </c>
      <c r="G109" s="4">
        <f t="shared" si="41"/>
        <v>-34.720670251778991</v>
      </c>
      <c r="H109" s="4">
        <f t="shared" si="42"/>
        <v>33.231506309612932</v>
      </c>
      <c r="I109" s="4">
        <f t="shared" si="43"/>
        <v>-30.328545732822914</v>
      </c>
      <c r="J109" s="4">
        <f t="shared" si="44"/>
        <v>26.593911527777177</v>
      </c>
      <c r="K109" s="4">
        <f t="shared" si="45"/>
        <v>-22.363978869354224</v>
      </c>
      <c r="L109" s="4">
        <f t="shared" si="46"/>
        <v>17.879819330865431</v>
      </c>
      <c r="M109" s="4">
        <f t="shared" si="47"/>
        <v>-13.337504002709649</v>
      </c>
    </row>
    <row r="110" spans="1:13">
      <c r="A110" s="4" cm="1">
        <f t="array" ref="A110">A109+Table4[Salto]</f>
        <v>0.26837726186444988</v>
      </c>
      <c r="B110" s="4">
        <f t="shared" si="36"/>
        <v>1.3922864236856312E-3</v>
      </c>
      <c r="C110" s="4">
        <f t="shared" si="37"/>
        <v>-2.8615825795938701</v>
      </c>
      <c r="D110" s="4">
        <f t="shared" si="38"/>
        <v>10.615702816133517</v>
      </c>
      <c r="E110" s="4">
        <f t="shared" si="39"/>
        <v>-28.411131292428248</v>
      </c>
      <c r="F110" s="4">
        <f t="shared" si="40"/>
        <v>36.987199282726166</v>
      </c>
      <c r="G110" s="4">
        <f t="shared" si="41"/>
        <v>-37.590059585317299</v>
      </c>
      <c r="H110" s="4">
        <f t="shared" si="42"/>
        <v>34.946151955872658</v>
      </c>
      <c r="I110" s="4">
        <f t="shared" si="43"/>
        <v>-30.648970798089888</v>
      </c>
      <c r="J110" s="4">
        <f t="shared" si="44"/>
        <v>25.43953799428828</v>
      </c>
      <c r="K110" s="4">
        <f t="shared" si="45"/>
        <v>-19.779628333784437</v>
      </c>
      <c r="L110" s="4">
        <f t="shared" si="46"/>
        <v>14.01702477792325</v>
      </c>
      <c r="M110" s="4">
        <f t="shared" si="47"/>
        <v>-8.4374093969178698</v>
      </c>
    </row>
    <row r="111" spans="1:13">
      <c r="A111" s="4" cm="1">
        <f t="array" ref="A111">A110+Table4[Salto]</f>
        <v>0.29995105737791516</v>
      </c>
      <c r="B111" s="4">
        <f t="shared" si="36"/>
        <v>2.4280184704527294E-3</v>
      </c>
      <c r="C111" s="4">
        <f t="shared" si="37"/>
        <v>0.13816945323451035</v>
      </c>
      <c r="D111" s="4">
        <f t="shared" si="38"/>
        <v>11.828985862733465</v>
      </c>
      <c r="E111" s="4">
        <f t="shared" si="39"/>
        <v>-31.367650612921757</v>
      </c>
      <c r="F111" s="4">
        <f t="shared" si="40"/>
        <v>40.184226920021025</v>
      </c>
      <c r="G111" s="4">
        <f t="shared" si="41"/>
        <v>-39.860666228745352</v>
      </c>
      <c r="H111" s="4">
        <f t="shared" si="42"/>
        <v>35.791655502806506</v>
      </c>
      <c r="I111" s="4">
        <f t="shared" si="43"/>
        <v>-29.872734000389386</v>
      </c>
      <c r="J111" s="4">
        <f t="shared" si="44"/>
        <v>23.047536011841256</v>
      </c>
      <c r="K111" s="4">
        <f t="shared" si="45"/>
        <v>-15.939995546977288</v>
      </c>
      <c r="L111" s="4">
        <f t="shared" si="46"/>
        <v>9.0299616768865967</v>
      </c>
      <c r="M111" s="4">
        <f t="shared" si="47"/>
        <v>-2.7031501320205558</v>
      </c>
    </row>
    <row r="112" spans="1:13">
      <c r="A112" s="4" cm="1">
        <f t="array" ref="A112">A111+Table4[Salto]</f>
        <v>0.33152485289138045</v>
      </c>
      <c r="B112" s="4">
        <f t="shared" si="36"/>
        <v>4.0047965219462316E-3</v>
      </c>
      <c r="C112" s="4">
        <f t="shared" si="37"/>
        <v>3.1378957588281238</v>
      </c>
      <c r="D112" s="4">
        <f t="shared" si="38"/>
        <v>13.030477518972768</v>
      </c>
      <c r="E112" s="4">
        <f t="shared" si="39"/>
        <v>-34.19912927677921</v>
      </c>
      <c r="F112" s="4">
        <f t="shared" si="40"/>
        <v>43.020985490964911</v>
      </c>
      <c r="G112" s="4">
        <f t="shared" si="41"/>
        <v>-41.496321046681814</v>
      </c>
      <c r="H112" s="4">
        <f t="shared" si="42"/>
        <v>35.746988519910957</v>
      </c>
      <c r="I112" s="4">
        <f t="shared" si="43"/>
        <v>-28.027610148157176</v>
      </c>
      <c r="J112" s="4">
        <f t="shared" si="44"/>
        <v>19.534275999745834</v>
      </c>
      <c r="K112" s="4">
        <f t="shared" si="45"/>
        <v>-11.08875661887846</v>
      </c>
      <c r="L112" s="4">
        <f t="shared" si="46"/>
        <v>3.3186291916785122</v>
      </c>
      <c r="M112" s="4">
        <f t="shared" si="47"/>
        <v>3.2983561280518039</v>
      </c>
    </row>
    <row r="113" spans="1:13">
      <c r="A113" s="4" cm="1">
        <f t="array" ref="A113">A112+Table4[Salto]</f>
        <v>0.36309864840484574</v>
      </c>
      <c r="B113" s="4">
        <f t="shared" si="36"/>
        <v>6.3113630295756999E-3</v>
      </c>
      <c r="C113" s="4">
        <f t="shared" si="37"/>
        <v>5.8111928593685551</v>
      </c>
      <c r="D113" s="4">
        <f t="shared" si="38"/>
        <v>14.21898011183886</v>
      </c>
      <c r="E113" s="4">
        <f t="shared" si="39"/>
        <v>-36.894280179468986</v>
      </c>
      <c r="F113" s="4">
        <f t="shared" si="40"/>
        <v>45.472042221552954</v>
      </c>
      <c r="G113" s="4">
        <f t="shared" si="41"/>
        <v>-42.470969230946537</v>
      </c>
      <c r="H113" s="4">
        <f t="shared" si="42"/>
        <v>34.813261915057467</v>
      </c>
      <c r="I113" s="4">
        <f t="shared" si="43"/>
        <v>-25.179620282508303</v>
      </c>
      <c r="J113" s="4">
        <f t="shared" si="44"/>
        <v>15.070677356795024</v>
      </c>
      <c r="K113" s="4">
        <f t="shared" si="45"/>
        <v>-5.5337876136985642</v>
      </c>
      <c r="L113" s="4">
        <f t="shared" si="46"/>
        <v>-2.6588817787719314</v>
      </c>
      <c r="M113" s="4">
        <f t="shared" si="47"/>
        <v>8.9737703395185715</v>
      </c>
    </row>
    <row r="114" spans="1:13">
      <c r="A114" s="4" cm="1">
        <f t="array" ref="A114">A113+Table4[Salto]</f>
        <v>0.39467244391831102</v>
      </c>
      <c r="B114" s="4">
        <f t="shared" si="36"/>
        <v>9.5759975168664153E-3</v>
      </c>
      <c r="C114" s="4">
        <f t="shared" si="37"/>
        <v>7.8654444643998964</v>
      </c>
      <c r="D114" s="4">
        <f t="shared" si="38"/>
        <v>15.393308916100034</v>
      </c>
      <c r="E114" s="4">
        <f t="shared" si="39"/>
        <v>-39.442359658905445</v>
      </c>
      <c r="F114" s="4">
        <f t="shared" si="40"/>
        <v>47.515422322481406</v>
      </c>
      <c r="G114" s="4">
        <f t="shared" si="41"/>
        <v>-42.769085334968715</v>
      </c>
      <c r="H114" s="4">
        <f t="shared" si="42"/>
        <v>33.013698305218654</v>
      </c>
      <c r="I114" s="4">
        <f t="shared" si="43"/>
        <v>-21.430669354586172</v>
      </c>
      <c r="J114" s="4">
        <f t="shared" si="44"/>
        <v>9.8738932666074604</v>
      </c>
      <c r="K114" s="4">
        <f t="shared" si="45"/>
        <v>0.37237430857614445</v>
      </c>
      <c r="L114" s="4">
        <f t="shared" si="46"/>
        <v>-8.4231308620291028</v>
      </c>
      <c r="M114" s="4">
        <f t="shared" si="47"/>
        <v>13.761992555905634</v>
      </c>
    </row>
    <row r="115" spans="1:13">
      <c r="A115" s="4" cm="1">
        <f t="array" ref="A115">A114+Table4[Salto]</f>
        <v>0.42624623943177631</v>
      </c>
      <c r="B115" s="4">
        <f t="shared" si="36"/>
        <v>1.4070282014898971E-2</v>
      </c>
      <c r="C115" s="4">
        <f t="shared" si="37"/>
        <v>9.073625514830244</v>
      </c>
      <c r="D115" s="4">
        <f t="shared" si="38"/>
        <v>16.552293335265308</v>
      </c>
      <c r="E115" s="4">
        <f t="shared" si="39"/>
        <v>-41.833210322837523</v>
      </c>
      <c r="F115" s="4">
        <f t="shared" si="40"/>
        <v>49.132806002688262</v>
      </c>
      <c r="G115" s="4">
        <f t="shared" si="41"/>
        <v>-42.385920583016137</v>
      </c>
      <c r="H115" s="4">
        <f t="shared" si="42"/>
        <v>30.393054449184465</v>
      </c>
      <c r="I115" s="4">
        <f t="shared" si="43"/>
        <v>-16.914899927802576</v>
      </c>
      <c r="J115" s="4">
        <f t="shared" si="44"/>
        <v>4.1967462385602214</v>
      </c>
      <c r="K115" s="4">
        <f t="shared" si="45"/>
        <v>6.2549040951764923</v>
      </c>
      <c r="L115" s="4">
        <f t="shared" si="46"/>
        <v>-13.511782858550857</v>
      </c>
      <c r="M115" s="4">
        <f t="shared" si="47"/>
        <v>17.189635086162589</v>
      </c>
    </row>
    <row r="116" spans="1:13">
      <c r="A116" s="4" cm="1">
        <f t="array" ref="A116">A115+Table4[Salto]</f>
        <v>0.45782003494524159</v>
      </c>
      <c r="B116" s="4">
        <f t="shared" si="36"/>
        <v>2.0112866497748873E-2</v>
      </c>
      <c r="C116" s="4">
        <f t="shared" si="37"/>
        <v>9.299244824495009</v>
      </c>
      <c r="D116" s="4">
        <f t="shared" si="38"/>
        <v>17.694778068460465</v>
      </c>
      <c r="E116" s="4">
        <f t="shared" si="39"/>
        <v>-44.057301539193801</v>
      </c>
      <c r="F116" s="4">
        <f t="shared" si="40"/>
        <v>50.309692714245656</v>
      </c>
      <c r="G116" s="4">
        <f t="shared" si="41"/>
        <v>-41.327578514786794</v>
      </c>
      <c r="H116" s="4">
        <f t="shared" si="42"/>
        <v>27.016508106883826</v>
      </c>
      <c r="I116" s="4">
        <f t="shared" si="43"/>
        <v>-11.793892374462107</v>
      </c>
      <c r="J116" s="4">
        <f t="shared" si="44"/>
        <v>-1.6845716568615168</v>
      </c>
      <c r="K116" s="4">
        <f t="shared" si="45"/>
        <v>11.740476468757306</v>
      </c>
      <c r="L116" s="4">
        <f t="shared" si="46"/>
        <v>-17.51669042733381</v>
      </c>
      <c r="M116" s="4">
        <f t="shared" si="47"/>
        <v>18.917823978785783</v>
      </c>
    </row>
    <row r="117" spans="1:13">
      <c r="A117" s="4" cm="1">
        <f t="array" ref="A117">A116+Table4[Salto]</f>
        <v>0.48939383045870688</v>
      </c>
      <c r="B117" s="4">
        <f t="shared" si="36"/>
        <v>2.8073234317926105E-2</v>
      </c>
      <c r="C117" s="4">
        <f t="shared" si="37"/>
        <v>8.5117181629101637</v>
      </c>
      <c r="D117" s="4">
        <f t="shared" si="38"/>
        <v>18.819624262057097</v>
      </c>
      <c r="E117" s="4">
        <f t="shared" si="39"/>
        <v>-46.105767427977611</v>
      </c>
      <c r="F117" s="4">
        <f t="shared" si="40"/>
        <v>51.035531156076722</v>
      </c>
      <c r="G117" s="4">
        <f t="shared" si="41"/>
        <v>-39.610917760398934</v>
      </c>
      <c r="H117" s="4">
        <f t="shared" si="42"/>
        <v>22.968037010117463</v>
      </c>
      <c r="I117" s="4">
        <f t="shared" si="43"/>
        <v>-6.2508833102643155</v>
      </c>
      <c r="J117" s="4">
        <f t="shared" si="44"/>
        <v>-7.4839354772010571</v>
      </c>
      <c r="K117" s="4">
        <f t="shared" si="45"/>
        <v>16.480958414772878</v>
      </c>
      <c r="L117" s="4">
        <f t="shared" si="46"/>
        <v>-20.116630506498293</v>
      </c>
      <c r="M117" s="4">
        <f t="shared" si="47"/>
        <v>18.775701802226212</v>
      </c>
    </row>
    <row r="118" spans="1:13">
      <c r="A118" s="4" cm="1">
        <f t="array" ref="A118">A117+Table4[Salto]</f>
        <v>0.52096762597217217</v>
      </c>
      <c r="B118" s="4">
        <f t="shared" si="36"/>
        <v>3.8375467641814737E-2</v>
      </c>
      <c r="C118" s="4">
        <f t="shared" si="37"/>
        <v>6.7904661948860099</v>
      </c>
      <c r="D118" s="4">
        <f t="shared" si="38"/>
        <v>19.925710644906662</v>
      </c>
      <c r="E118" s="4">
        <f t="shared" si="39"/>
        <v>-47.970442203265385</v>
      </c>
      <c r="F118" s="4">
        <f t="shared" si="40"/>
        <v>51.303813870957484</v>
      </c>
      <c r="G118" s="4">
        <f t="shared" si="41"/>
        <v>-37.263283494504009</v>
      </c>
      <c r="H118" s="4">
        <f t="shared" si="42"/>
        <v>18.34833026115183</v>
      </c>
      <c r="I118" s="4">
        <f t="shared" si="43"/>
        <v>-0.48420913896106876</v>
      </c>
      <c r="J118" s="4">
        <f t="shared" si="44"/>
        <v>-12.919207329406955</v>
      </c>
      <c r="K118" s="4">
        <f t="shared" si="45"/>
        <v>20.175502882473499</v>
      </c>
      <c r="L118" s="4">
        <f t="shared" si="46"/>
        <v>-21.103068766951942</v>
      </c>
      <c r="M118" s="4">
        <f t="shared" si="47"/>
        <v>16.777319468485896</v>
      </c>
    </row>
    <row r="119" spans="1:13">
      <c r="A119" s="4" cm="1">
        <f t="array" ref="A119">A118+Table4[Salto]</f>
        <v>0.55254142148563745</v>
      </c>
      <c r="B119" s="4">
        <f t="shared" si="36"/>
        <v>5.150201288511258E-2</v>
      </c>
      <c r="C119" s="4">
        <f t="shared" si="37"/>
        <v>4.3172211859606815</v>
      </c>
      <c r="D119" s="4">
        <f t="shared" si="38"/>
        <v>21.011934646047955</v>
      </c>
      <c r="E119" s="4">
        <f t="shared" si="39"/>
        <v>-49.643892724424703</v>
      </c>
      <c r="F119" s="4">
        <f t="shared" si="40"/>
        <v>51.112135587700323</v>
      </c>
      <c r="G119" s="4">
        <f t="shared" si="41"/>
        <v>-34.322071847266081</v>
      </c>
      <c r="H119" s="4">
        <f t="shared" si="42"/>
        <v>13.272284104561605</v>
      </c>
      <c r="I119" s="4">
        <f t="shared" si="43"/>
        <v>5.2997906939409551</v>
      </c>
      <c r="J119" s="4">
        <f t="shared" si="44"/>
        <v>-17.725962322051476</v>
      </c>
      <c r="K119" s="4">
        <f t="shared" si="45"/>
        <v>22.589641558377746</v>
      </c>
      <c r="L119" s="4">
        <f t="shared" si="46"/>
        <v>-20.396885600330247</v>
      </c>
      <c r="M119" s="4">
        <f t="shared" si="47"/>
        <v>13.120247089404605</v>
      </c>
    </row>
    <row r="120" spans="1:13">
      <c r="A120" s="4" cm="1">
        <f t="array" ref="A120">A119+Table4[Salto]</f>
        <v>0.58411521699910274</v>
      </c>
      <c r="B120" s="4">
        <f t="shared" si="36"/>
        <v>6.7997446148270621E-2</v>
      </c>
      <c r="C120" s="4">
        <f t="shared" si="37"/>
        <v>1.3572784495536201</v>
      </c>
      <c r="D120" s="4">
        <f t="shared" si="38"/>
        <v>22.077213493773815</v>
      </c>
      <c r="E120" s="4">
        <f t="shared" si="39"/>
        <v>-51.119448126793245</v>
      </c>
      <c r="F120" s="4">
        <f t="shared" si="40"/>
        <v>50.462214785455927</v>
      </c>
      <c r="G120" s="4">
        <f t="shared" si="41"/>
        <v>-30.834134210828317</v>
      </c>
      <c r="H120" s="4">
        <f t="shared" si="42"/>
        <v>7.8661443547181147</v>
      </c>
      <c r="I120" s="4">
        <f t="shared" si="43"/>
        <v>10.894156807197255</v>
      </c>
      <c r="J120" s="4">
        <f t="shared" si="44"/>
        <v>-21.670352783553312</v>
      </c>
      <c r="K120" s="4">
        <f t="shared" si="45"/>
        <v>23.570165020106725</v>
      </c>
      <c r="L120" s="4">
        <f t="shared" si="46"/>
        <v>-18.054722093882834</v>
      </c>
      <c r="M120" s="4">
        <f t="shared" si="47"/>
        <v>8.1660412033594909</v>
      </c>
    </row>
    <row r="121" spans="1:13">
      <c r="A121" s="4" cm="1">
        <f t="array" ref="A121">A120+Table4[Salto]</f>
        <v>0.61568901251256802</v>
      </c>
      <c r="B121" s="4">
        <f t="shared" si="36"/>
        <v>8.847223865193278E-2</v>
      </c>
      <c r="C121" s="4">
        <f t="shared" si="37"/>
        <v>-1.7683885380383262</v>
      </c>
      <c r="D121" s="4">
        <f t="shared" si="38"/>
        <v>23.120485294961515</v>
      </c>
      <c r="E121" s="4">
        <f t="shared" si="39"/>
        <v>-52.39122641370215</v>
      </c>
      <c r="F121" s="4">
        <f t="shared" si="40"/>
        <v>49.359878286800537</v>
      </c>
      <c r="G121" s="4">
        <f t="shared" si="41"/>
        <v>-26.855030930237337</v>
      </c>
      <c r="H121" s="4">
        <f t="shared" si="42"/>
        <v>2.2643665493115237</v>
      </c>
      <c r="I121" s="4">
        <f t="shared" si="43"/>
        <v>16.09871517198636</v>
      </c>
      <c r="J121" s="4">
        <f t="shared" si="44"/>
        <v>-24.56048490475408</v>
      </c>
      <c r="K121" s="4">
        <f t="shared" si="45"/>
        <v>23.054845925586072</v>
      </c>
      <c r="L121" s="4">
        <f t="shared" si="46"/>
        <v>-14.264436998415414</v>
      </c>
      <c r="M121" s="4">
        <f t="shared" si="47"/>
        <v>2.4044994804246476</v>
      </c>
    </row>
    <row r="122" spans="1:13">
      <c r="A122" s="4" cm="1">
        <f t="array" ref="A122">A121+Table4[Salto]</f>
        <v>0.64726280802603331</v>
      </c>
      <c r="B122" s="4">
        <f t="shared" si="36"/>
        <v>0.11360652217237546</v>
      </c>
      <c r="C122" s="4">
        <f t="shared" si="37"/>
        <v>-4.717241900824094</v>
      </c>
      <c r="D122" s="4">
        <f t="shared" si="38"/>
        <v>24.140710093590915</v>
      </c>
      <c r="E122" s="4">
        <f t="shared" si="39"/>
        <v>-53.454157903840162</v>
      </c>
      <c r="F122" s="4">
        <f t="shared" si="40"/>
        <v>47.815009017738085</v>
      </c>
      <c r="G122" s="4">
        <f t="shared" si="41"/>
        <v>-22.448146266993739</v>
      </c>
      <c r="H122" s="4">
        <f t="shared" si="42"/>
        <v>-3.3937280802992595</v>
      </c>
      <c r="I122" s="4">
        <f t="shared" si="43"/>
        <v>20.72723961093174</v>
      </c>
      <c r="J122" s="4">
        <f t="shared" si="44"/>
        <v>-26.255754334456494</v>
      </c>
      <c r="K122" s="4">
        <f t="shared" si="45"/>
        <v>21.076388171075081</v>
      </c>
      <c r="L122" s="4">
        <f t="shared" si="46"/>
        <v>-9.3300390738937402</v>
      </c>
      <c r="M122" s="4">
        <f t="shared" si="47"/>
        <v>-3.5947631346765196</v>
      </c>
    </row>
    <row r="123" spans="1:13">
      <c r="A123" s="4" cm="1">
        <f t="array" ref="A123">A122+Table4[Salto]</f>
        <v>0.6788366035394986</v>
      </c>
      <c r="B123" s="4">
        <f t="shared" si="36"/>
        <v>0.14415385447694704</v>
      </c>
      <c r="C123" s="4">
        <f t="shared" si="37"/>
        <v>-7.1619262198667837</v>
      </c>
      <c r="D123" s="4">
        <f t="shared" si="38"/>
        <v>25.136870907395252</v>
      </c>
      <c r="E123" s="4">
        <f t="shared" si="39"/>
        <v>-54.304005440490442</v>
      </c>
      <c r="F123" s="4">
        <f t="shared" si="40"/>
        <v>45.84145740297145</v>
      </c>
      <c r="G123" s="4">
        <f t="shared" si="41"/>
        <v>-17.683678733224728</v>
      </c>
      <c r="H123" s="4">
        <f t="shared" si="42"/>
        <v>-8.96741765289614</v>
      </c>
      <c r="I123" s="4">
        <f t="shared" si="43"/>
        <v>24.614115224027646</v>
      </c>
      <c r="J123" s="4">
        <f t="shared" si="44"/>
        <v>-26.673686553063529</v>
      </c>
      <c r="K123" s="4">
        <f t="shared" si="45"/>
        <v>17.76035139106995</v>
      </c>
      <c r="L123" s="4">
        <f t="shared" si="46"/>
        <v>-3.6473033494851497</v>
      </c>
      <c r="M123" s="4">
        <f t="shared" si="47"/>
        <v>-9.2386294161710936</v>
      </c>
    </row>
    <row r="124" spans="1:13">
      <c r="A124" s="4" cm="1">
        <f t="array" ref="A124">A123+Table4[Salto]</f>
        <v>0.71041039905296388</v>
      </c>
      <c r="B124" s="4">
        <f t="shared" si="36"/>
        <v>0.18094498475950757</v>
      </c>
      <c r="C124" s="4">
        <f t="shared" si="37"/>
        <v>-8.8257396119242308</v>
      </c>
      <c r="D124" s="4">
        <f t="shared" si="38"/>
        <v>26.107974741611166</v>
      </c>
      <c r="E124" s="4">
        <f t="shared" si="39"/>
        <v>-54.93738128208016</v>
      </c>
      <c r="F124" s="4">
        <f t="shared" si="40"/>
        <v>43.456917190822885</v>
      </c>
      <c r="G124" s="4">
        <f t="shared" si="41"/>
        <v>-12.637522879731383</v>
      </c>
      <c r="H124" s="4">
        <f t="shared" si="42"/>
        <v>-14.318079516627902</v>
      </c>
      <c r="I124" s="4">
        <f t="shared" si="43"/>
        <v>27.620264315025793</v>
      </c>
      <c r="J124" s="4">
        <f t="shared" si="44"/>
        <v>-25.793949241505548</v>
      </c>
      <c r="K124" s="4">
        <f t="shared" si="45"/>
        <v>13.317182518351558</v>
      </c>
      <c r="L124" s="4">
        <f t="shared" si="46"/>
        <v>2.3279729465605739</v>
      </c>
      <c r="M124" s="4">
        <f t="shared" si="47"/>
        <v>-13.969118404351214</v>
      </c>
    </row>
    <row r="125" spans="1:13">
      <c r="A125" s="4" cm="1">
        <f t="array" ref="A125">A124+Table4[Salto]</f>
        <v>0.74198419456642917</v>
      </c>
      <c r="B125" s="4">
        <f t="shared" si="36"/>
        <v>0.2248916190758683</v>
      </c>
      <c r="C125" s="4">
        <f t="shared" si="37"/>
        <v>-9.5130185569584036</v>
      </c>
      <c r="D125" s="4">
        <f t="shared" si="38"/>
        <v>27.053053578817483</v>
      </c>
      <c r="E125" s="4">
        <f t="shared" si="39"/>
        <v>-55.351760606712169</v>
      </c>
      <c r="F125" s="4">
        <f t="shared" si="40"/>
        <v>40.682766821087114</v>
      </c>
      <c r="G125" s="4">
        <f t="shared" si="41"/>
        <v>-7.3900603502249167</v>
      </c>
      <c r="H125" s="4">
        <f t="shared" si="42"/>
        <v>-19.312637918521844</v>
      </c>
      <c r="I125" s="4">
        <f t="shared" si="43"/>
        <v>29.638122780576314</v>
      </c>
      <c r="J125" s="4">
        <f t="shared" si="44"/>
        <v>-23.659341444507284</v>
      </c>
      <c r="K125" s="4">
        <f t="shared" si="45"/>
        <v>8.0288601083838245</v>
      </c>
      <c r="L125" s="4">
        <f t="shared" si="46"/>
        <v>8.116528679141588</v>
      </c>
      <c r="M125" s="4">
        <f t="shared" si="47"/>
        <v>-17.318550204998512</v>
      </c>
    </row>
    <row r="126" spans="1:13">
      <c r="A126" s="4" cm="1">
        <f t="array" ref="A126">A125+Table4[Salto]</f>
        <v>0.77355799007989445</v>
      </c>
      <c r="B126" s="4">
        <f t="shared" si="36"/>
        <v>0.27699018577923151</v>
      </c>
      <c r="C126" s="4">
        <f t="shared" si="37"/>
        <v>-9.1311292284375387</v>
      </c>
      <c r="D126" s="4">
        <f t="shared" si="38"/>
        <v>27.97116534387602</v>
      </c>
      <c r="E126" s="4">
        <f t="shared" si="39"/>
        <v>-55.545491576845684</v>
      </c>
      <c r="F126" s="4">
        <f t="shared" si="40"/>
        <v>37.543877758023271</v>
      </c>
      <c r="G126" s="4">
        <f t="shared" si="41"/>
        <v>-2.0248794593909998</v>
      </c>
      <c r="H126" s="4">
        <f t="shared" si="42"/>
        <v>-23.826873717651974</v>
      </c>
      <c r="I126" s="4">
        <f t="shared" si="43"/>
        <v>30.595488900151185</v>
      </c>
      <c r="J126" s="4">
        <f t="shared" si="44"/>
        <v>-20.373711405599188</v>
      </c>
      <c r="K126" s="4">
        <f t="shared" si="45"/>
        <v>2.2309990245014011</v>
      </c>
      <c r="L126" s="4">
        <f t="shared" si="46"/>
        <v>13.254079076550635</v>
      </c>
      <c r="M126" s="4">
        <f t="shared" si="47"/>
        <v>-18.955783172052204</v>
      </c>
    </row>
    <row r="127" spans="1:13">
      <c r="A127" s="4" cm="1">
        <f t="array" ref="A127">A126+Table4[Salto]</f>
        <v>0.80513178559335974</v>
      </c>
      <c r="B127" s="4">
        <f t="shared" si="36"/>
        <v>0.33832560095562952</v>
      </c>
      <c r="C127" s="4">
        <f t="shared" si="37"/>
        <v>-7.7016169166236796</v>
      </c>
      <c r="D127" s="4">
        <f t="shared" si="38"/>
        <v>28.861394843012604</v>
      </c>
      <c r="E127" s="4">
        <f t="shared" si="39"/>
        <v>-55.51780192400529</v>
      </c>
      <c r="F127" s="4">
        <f t="shared" si="40"/>
        <v>34.068391506863733</v>
      </c>
      <c r="G127" s="4">
        <f t="shared" si="41"/>
        <v>3.3725563090147714</v>
      </c>
      <c r="H127" s="4">
        <f t="shared" si="42"/>
        <v>-27.748513826433072</v>
      </c>
      <c r="I127" s="4">
        <f t="shared" si="43"/>
        <v>30.458106811811305</v>
      </c>
      <c r="J127" s="4">
        <f t="shared" si="44"/>
        <v>-16.096904370784411</v>
      </c>
      <c r="K127" s="4">
        <f t="shared" si="45"/>
        <v>-3.7084488187844347</v>
      </c>
      <c r="L127" s="4">
        <f t="shared" si="46"/>
        <v>17.328554786156293</v>
      </c>
      <c r="M127" s="4">
        <f t="shared" si="47"/>
        <v>-18.718952233475179</v>
      </c>
    </row>
    <row r="128" spans="1:13">
      <c r="A128" s="4" cm="1">
        <f t="array" ref="A128">A127+Table4[Salto]</f>
        <v>0.83670558110682502</v>
      </c>
      <c r="B128" s="4">
        <f t="shared" si="36"/>
        <v>0.41007503385936511</v>
      </c>
      <c r="C128" s="4">
        <f t="shared" si="37"/>
        <v>-5.3591925697428167</v>
      </c>
      <c r="D128" s="4">
        <f t="shared" si="38"/>
        <v>29.722854676102088</v>
      </c>
      <c r="E128" s="4">
        <f t="shared" si="39"/>
        <v>-55.268802027269608</v>
      </c>
      <c r="F128" s="4">
        <f t="shared" si="40"/>
        <v>30.287467312983903</v>
      </c>
      <c r="G128" s="4">
        <f t="shared" si="41"/>
        <v>8.7162696741698458</v>
      </c>
      <c r="H128" s="4">
        <f t="shared" si="42"/>
        <v>-30.980023542868466</v>
      </c>
      <c r="I128" s="4">
        <f t="shared" si="43"/>
        <v>29.23089223354048</v>
      </c>
      <c r="J128" s="4">
        <f t="shared" si="44"/>
        <v>-11.03698614920541</v>
      </c>
      <c r="K128" s="4">
        <f t="shared" si="45"/>
        <v>-9.4125459313444022</v>
      </c>
      <c r="L128" s="4">
        <f t="shared" si="46"/>
        <v>20.013152869185209</v>
      </c>
      <c r="M128" s="4">
        <f t="shared" si="47"/>
        <v>-16.631471685036459</v>
      </c>
    </row>
    <row r="129" spans="1:13">
      <c r="A129" s="4" cm="1">
        <f t="array" ref="A129">A128+Table4[Salto]</f>
        <v>0.86827937662029031</v>
      </c>
      <c r="B129" s="4">
        <f t="shared" si="36"/>
        <v>0.49351167234845023</v>
      </c>
      <c r="C129" s="4">
        <f t="shared" si="37"/>
        <v>-2.3385154504607026</v>
      </c>
      <c r="D129" s="4">
        <f t="shared" si="38"/>
        <v>30.554686121248121</v>
      </c>
      <c r="E129" s="4">
        <f t="shared" si="39"/>
        <v>-54.799484473267917</v>
      </c>
      <c r="F129" s="4">
        <f t="shared" si="40"/>
        <v>26.235002805719365</v>
      </c>
      <c r="G129" s="4">
        <f t="shared" si="41"/>
        <v>13.921139114606472</v>
      </c>
      <c r="H129" s="4">
        <f t="shared" si="42"/>
        <v>-33.441032325947482</v>
      </c>
      <c r="I129" s="4">
        <f t="shared" si="43"/>
        <v>26.957756572169735</v>
      </c>
      <c r="J129" s="4">
        <f t="shared" si="44"/>
        <v>-5.4401207530322448</v>
      </c>
      <c r="K129" s="4">
        <f t="shared" si="45"/>
        <v>-14.519290978072478</v>
      </c>
      <c r="L129" s="4">
        <f t="shared" si="46"/>
        <v>21.092548801578754</v>
      </c>
      <c r="M129" s="4">
        <f t="shared" si="47"/>
        <v>-12.899720335463028</v>
      </c>
    </row>
    <row r="130" spans="1:13">
      <c r="A130" s="4" cm="1">
        <f t="array" ref="A130">A129+Table4[Salto]</f>
        <v>0.8998531721337556</v>
      </c>
      <c r="B130" s="4">
        <f t="shared" ref="B130:B161" si="48">A130^5</f>
        <v>0.59000848832004638</v>
      </c>
      <c r="C130" s="4">
        <f t="shared" ref="C130:C161" si="49">SUM(D130:M130)</f>
        <v>1.0499698527739296</v>
      </c>
      <c r="D130" s="4">
        <f t="shared" ref="D130:D161" si="50">$P$2*SIN($O$2*$A130)</f>
        <v>31.356059990775794</v>
      </c>
      <c r="E130" s="4">
        <f t="shared" ref="E130:E161" si="51">$P$3*SIN($O$3*$A130)</f>
        <v>-54.111720099438678</v>
      </c>
      <c r="F130" s="4">
        <f t="shared" ref="F130:F161" si="52">$P$4*SIN($O$4*$A130)</f>
        <v>21.947330091380358</v>
      </c>
      <c r="G130" s="4">
        <f t="shared" ref="G130:G161" si="53">$P$5*SIN($O$5*$A130)</f>
        <v>18.904254793000668</v>
      </c>
      <c r="H130" s="4">
        <f t="shared" ref="H130:H161" si="54">$P$6*SIN($O$6*$A130)</f>
        <v>-35.0703326829858</v>
      </c>
      <c r="I130" s="4">
        <f t="shared" ref="I130:I161" si="55">$P$7*SIN($O$7*$A130)</f>
        <v>23.720035713513937</v>
      </c>
      <c r="J130" s="4">
        <f t="shared" ref="J130:J161" si="56">$P$8*SIN($O$8*$A130)</f>
        <v>0.42140543262661395</v>
      </c>
      <c r="K130" s="4">
        <f t="shared" ref="K130:K161" si="57">$P$9*SIN($O$9*$A130)</f>
        <v>-18.704592610507742</v>
      </c>
      <c r="L130" s="4">
        <f t="shared" ref="L130:L161" si="58">$P$10*SIN($O$10*$A130)</f>
        <v>20.480167085543528</v>
      </c>
      <c r="M130" s="4">
        <f t="shared" ref="M130:M161" si="59">$P$11*SIN($O$11*$A130)</f>
        <v>-7.892637861134749</v>
      </c>
    </row>
    <row r="131" spans="1:13">
      <c r="A131" s="4" cm="1">
        <f t="array" ref="A131">A130+Table4[Salto]</f>
        <v>0.93142696764722088</v>
      </c>
      <c r="B131" s="4">
        <f t="shared" si="48"/>
        <v>0.70104200314590359</v>
      </c>
      <c r="C131" s="4">
        <f t="shared" si="49"/>
        <v>4.4527020412801619</v>
      </c>
      <c r="D131" s="4">
        <f t="shared" si="50"/>
        <v>32.126177457783967</v>
      </c>
      <c r="E131" s="4">
        <f t="shared" si="51"/>
        <v>-53.208250536322723</v>
      </c>
      <c r="F131" s="4">
        <f t="shared" si="52"/>
        <v>17.462890020121563</v>
      </c>
      <c r="G131" s="4">
        <f t="shared" si="53"/>
        <v>23.586239250418988</v>
      </c>
      <c r="H131" s="4">
        <f t="shared" si="54"/>
        <v>-35.827402454790104</v>
      </c>
      <c r="I131" s="4">
        <f t="shared" si="55"/>
        <v>19.63357971374672</v>
      </c>
      <c r="J131" s="4">
        <f t="shared" si="56"/>
        <v>6.2624303280465812</v>
      </c>
      <c r="K131" s="4">
        <f t="shared" si="57"/>
        <v>-21.702837402219068</v>
      </c>
      <c r="L131" s="4">
        <f t="shared" si="58"/>
        <v>18.225125241642871</v>
      </c>
      <c r="M131" s="4">
        <f t="shared" si="59"/>
        <v>-2.1052495771486339</v>
      </c>
    </row>
    <row r="132" spans="1:13">
      <c r="A132" s="4" cm="1">
        <f t="array" ref="A132">A131+Table4[Salto]</f>
        <v>0.96300076316068617</v>
      </c>
      <c r="B132" s="4">
        <f t="shared" si="48"/>
        <v>0.82819605310780053</v>
      </c>
      <c r="C132" s="4">
        <f t="shared" si="49"/>
        <v>7.5107989751365647</v>
      </c>
      <c r="D132" s="4">
        <f t="shared" si="50"/>
        <v>32.864270852433279</v>
      </c>
      <c r="E132" s="4">
        <f t="shared" si="51"/>
        <v>-52.092677278619675</v>
      </c>
      <c r="F132" s="4">
        <f t="shared" si="52"/>
        <v>12.821887547006407</v>
      </c>
      <c r="G132" s="4">
        <f t="shared" si="53"/>
        <v>27.892511832310884</v>
      </c>
      <c r="H132" s="4">
        <f t="shared" si="54"/>
        <v>-35.693412638051754</v>
      </c>
      <c r="I132" s="4">
        <f t="shared" si="55"/>
        <v>14.844607526814736</v>
      </c>
      <c r="J132" s="4">
        <f t="shared" si="56"/>
        <v>11.798789237183771</v>
      </c>
      <c r="K132" s="4">
        <f t="shared" si="57"/>
        <v>-23.323746577064245</v>
      </c>
      <c r="L132" s="4">
        <f t="shared" si="58"/>
        <v>14.508294222158149</v>
      </c>
      <c r="M132" s="4">
        <f t="shared" si="59"/>
        <v>3.8902742509650121</v>
      </c>
    </row>
    <row r="133" spans="1:13">
      <c r="A133" s="4" cm="1">
        <f t="array" ref="A133">A132+Table4[Salto]</f>
        <v>0.99457455867415145</v>
      </c>
      <c r="B133" s="4">
        <f t="shared" si="48"/>
        <v>0.97316555483298384</v>
      </c>
      <c r="C133" s="4">
        <f t="shared" si="49"/>
        <v>9.8990094129009893</v>
      </c>
      <c r="D133" s="4">
        <f t="shared" si="50"/>
        <v>33.569604427176145</v>
      </c>
      <c r="E133" s="4">
        <f t="shared" si="51"/>
        <v>-50.769447328573698</v>
      </c>
      <c r="F133" s="4">
        <f t="shared" si="52"/>
        <v>8.0659312771039886</v>
      </c>
      <c r="G133" s="4">
        <f t="shared" si="53"/>
        <v>31.754476704847434</v>
      </c>
      <c r="H133" s="4">
        <f t="shared" si="54"/>
        <v>-34.671695679523545</v>
      </c>
      <c r="I133" s="4">
        <f t="shared" si="55"/>
        <v>9.5244750913829144</v>
      </c>
      <c r="J133" s="4">
        <f t="shared" si="56"/>
        <v>16.761139403454692</v>
      </c>
      <c r="K133" s="4">
        <f t="shared" si="57"/>
        <v>-23.464451745217392</v>
      </c>
      <c r="L133" s="4">
        <f t="shared" si="58"/>
        <v>9.6277912295623178</v>
      </c>
      <c r="M133" s="4">
        <f t="shared" si="59"/>
        <v>9.5011860326881319</v>
      </c>
    </row>
    <row r="134" spans="1:13">
      <c r="A134" s="4" cm="1">
        <f t="array" ref="A134">A133+Table4[Salto]</f>
        <v>1.0261483541876166</v>
      </c>
      <c r="B134" s="4">
        <f t="shared" si="48"/>
        <v>1.1377602707296066</v>
      </c>
      <c r="C134" s="4">
        <f t="shared" si="49"/>
        <v>11.361668551804611</v>
      </c>
      <c r="D134" s="4">
        <f t="shared" si="50"/>
        <v>34.241475090165913</v>
      </c>
      <c r="E134" s="4">
        <f t="shared" si="51"/>
        <v>-49.243835468917979</v>
      </c>
      <c r="F134" s="4">
        <f t="shared" si="52"/>
        <v>3.2376604262532775</v>
      </c>
      <c r="G134" s="4">
        <f t="shared" si="53"/>
        <v>35.110615537358257</v>
      </c>
      <c r="H134" s="4">
        <f t="shared" si="54"/>
        <v>-32.787662595084228</v>
      </c>
      <c r="I134" s="4">
        <f t="shared" si="55"/>
        <v>3.8635439822757816</v>
      </c>
      <c r="J134" s="4">
        <f t="shared" si="56"/>
        <v>20.908063481117939</v>
      </c>
      <c r="K134" s="4">
        <f t="shared" si="57"/>
        <v>-22.11602327982914</v>
      </c>
      <c r="L134" s="4">
        <f t="shared" si="58"/>
        <v>3.9750685228325469</v>
      </c>
      <c r="M134" s="4">
        <f t="shared" si="59"/>
        <v>14.172762855632241</v>
      </c>
    </row>
    <row r="135" spans="1:13">
      <c r="A135" s="4" cm="1">
        <f t="array" ref="A135">A134+Table4[Salto]</f>
        <v>1.0577221497010818</v>
      </c>
      <c r="B135" s="4">
        <f t="shared" si="48"/>
        <v>1.3239085744221706</v>
      </c>
      <c r="C135" s="4">
        <f t="shared" si="49"/>
        <v>11.741761559572925</v>
      </c>
      <c r="D135" s="4">
        <f t="shared" si="50"/>
        <v>34.879213106114101</v>
      </c>
      <c r="E135" s="4">
        <f t="shared" si="51"/>
        <v>-47.521923236043541</v>
      </c>
      <c r="F135" s="4">
        <f t="shared" si="52"/>
        <v>-1.6196374580463861</v>
      </c>
      <c r="G135" s="4">
        <f t="shared" si="53"/>
        <v>37.907467445218991</v>
      </c>
      <c r="H135" s="4">
        <f t="shared" si="54"/>
        <v>-30.088170975013771</v>
      </c>
      <c r="I135" s="4">
        <f t="shared" si="55"/>
        <v>-1.9356299855939492</v>
      </c>
      <c r="J135" s="4">
        <f t="shared" si="56"/>
        <v>24.037814440988587</v>
      </c>
      <c r="K135" s="4">
        <f t="shared" si="57"/>
        <v>-19.364037021410805</v>
      </c>
      <c r="L135" s="4">
        <f t="shared" si="58"/>
        <v>-1.9964839346856857</v>
      </c>
      <c r="M135" s="4">
        <f t="shared" si="59"/>
        <v>17.443149178045381</v>
      </c>
    </row>
    <row r="136" spans="1:13">
      <c r="A136" s="4" cm="1">
        <f t="array" ref="A136">A135+Table4[Salto]</f>
        <v>1.089295945214547</v>
      </c>
      <c r="B136" s="4">
        <f t="shared" si="48"/>
        <v>1.5336612161869638</v>
      </c>
      <c r="C136" s="4">
        <f t="shared" si="49"/>
        <v>10.999871686027459</v>
      </c>
      <c r="D136" s="4">
        <f t="shared" si="50"/>
        <v>35.482182763897107</v>
      </c>
      <c r="E136" s="4">
        <f t="shared" si="51"/>
        <v>-45.610574677211204</v>
      </c>
      <c r="F136" s="4">
        <f t="shared" si="52"/>
        <v>-6.4624145883198789</v>
      </c>
      <c r="G136" s="4">
        <f t="shared" si="53"/>
        <v>40.100480583401868</v>
      </c>
      <c r="H136" s="4">
        <f t="shared" si="54"/>
        <v>-26.640359593754152</v>
      </c>
      <c r="I136" s="4">
        <f t="shared" si="55"/>
        <v>-7.6655444797932155</v>
      </c>
      <c r="J136" s="4">
        <f t="shared" si="56"/>
        <v>25.998130523165184</v>
      </c>
      <c r="K136" s="4">
        <f t="shared" si="57"/>
        <v>-15.383143344961663</v>
      </c>
      <c r="L136" s="4">
        <f t="shared" si="58"/>
        <v>-7.8079036871466929</v>
      </c>
      <c r="M136" s="4">
        <f t="shared" si="59"/>
        <v>18.989018186750108</v>
      </c>
    </row>
    <row r="137" spans="1:13">
      <c r="A137" s="4" cm="1">
        <f t="array" ref="A137">A136+Table4[Salto]</f>
        <v>1.1208697407280122</v>
      </c>
      <c r="B137" s="4">
        <f t="shared" si="48"/>
        <v>1.7691950883875009</v>
      </c>
      <c r="C137" s="4">
        <f t="shared" si="49"/>
        <v>9.2208134059792854</v>
      </c>
      <c r="D137" s="4">
        <f t="shared" si="50"/>
        <v>36.049783010246877</v>
      </c>
      <c r="E137" s="4">
        <f t="shared" si="51"/>
        <v>-43.517408988445759</v>
      </c>
      <c r="F137" s="4">
        <f t="shared" si="52"/>
        <v>-11.247253361965516</v>
      </c>
      <c r="G137" s="4">
        <f t="shared" si="53"/>
        <v>41.654721825415116</v>
      </c>
      <c r="H137" s="4">
        <f t="shared" si="54"/>
        <v>-22.529978608454872</v>
      </c>
      <c r="I137" s="4">
        <f t="shared" si="55"/>
        <v>-13.121175366061546</v>
      </c>
      <c r="J137" s="4">
        <f t="shared" si="56"/>
        <v>26.693642741277113</v>
      </c>
      <c r="K137" s="4">
        <f t="shared" si="57"/>
        <v>-10.425983255245907</v>
      </c>
      <c r="L137" s="4">
        <f t="shared" si="58"/>
        <v>-12.993072100176853</v>
      </c>
      <c r="M137" s="4">
        <f t="shared" si="59"/>
        <v>18.657537509390632</v>
      </c>
    </row>
    <row r="138" spans="1:13">
      <c r="A138" s="4" cm="1">
        <f t="array" ref="A138">A137+Table4[Salto]</f>
        <v>1.1524435362414773</v>
      </c>
      <c r="B138" s="4">
        <f t="shared" si="48"/>
        <v>2.0328169909099612</v>
      </c>
      <c r="C138" s="4">
        <f t="shared" si="49"/>
        <v>6.6070240008595089</v>
      </c>
      <c r="D138" s="4">
        <f t="shared" si="50"/>
        <v>36.58144804889389</v>
      </c>
      <c r="E138" s="4">
        <f t="shared" si="51"/>
        <v>-41.250770142185587</v>
      </c>
      <c r="F138" s="4">
        <f t="shared" si="52"/>
        <v>-15.931255618940247</v>
      </c>
      <c r="G138" s="4">
        <f t="shared" si="53"/>
        <v>42.545433222954294</v>
      </c>
      <c r="H138" s="4">
        <f t="shared" si="54"/>
        <v>-17.859256875760984</v>
      </c>
      <c r="I138" s="4">
        <f t="shared" si="55"/>
        <v>-18.107312750702583</v>
      </c>
      <c r="J138" s="4">
        <f t="shared" si="56"/>
        <v>26.090514564648142</v>
      </c>
      <c r="K138" s="4">
        <f t="shared" si="57"/>
        <v>-4.8071549323786744</v>
      </c>
      <c r="L138" s="4">
        <f t="shared" si="58"/>
        <v>-17.136100505838311</v>
      </c>
      <c r="M138" s="4">
        <f t="shared" si="59"/>
        <v>16.48147899016957</v>
      </c>
    </row>
    <row r="139" spans="1:13">
      <c r="A139" s="4" cm="1">
        <f t="array" ref="A139">A138+Table4[Salto]</f>
        <v>1.1840173317549425</v>
      </c>
      <c r="B139" s="4">
        <f t="shared" si="48"/>
        <v>2.3269673965986319</v>
      </c>
      <c r="C139" s="4">
        <f t="shared" si="49"/>
        <v>3.4591790938195306</v>
      </c>
      <c r="D139" s="4">
        <f t="shared" si="50"/>
        <v>37.076647904565142</v>
      </c>
      <c r="E139" s="4">
        <f t="shared" si="51"/>
        <v>-38.819693625760955</v>
      </c>
      <c r="F139" s="4">
        <f t="shared" si="52"/>
        <v>-20.472427242416476</v>
      </c>
      <c r="G139" s="4">
        <f t="shared" si="53"/>
        <v>42.758426382262833</v>
      </c>
      <c r="H139" s="4">
        <f t="shared" si="54"/>
        <v>-12.744359428585044</v>
      </c>
      <c r="I139" s="4">
        <f t="shared" si="55"/>
        <v>-22.445545856099194</v>
      </c>
      <c r="J139" s="4">
        <f t="shared" si="56"/>
        <v>24.218088058764344</v>
      </c>
      <c r="K139" s="4">
        <f t="shared" si="57"/>
        <v>1.1167517349211582</v>
      </c>
      <c r="L139" s="4">
        <f t="shared" si="58"/>
        <v>-19.904687534607628</v>
      </c>
      <c r="M139" s="4">
        <f t="shared" si="59"/>
        <v>12.675978700775351</v>
      </c>
    </row>
    <row r="140" spans="1:13">
      <c r="A140" s="4" cm="1">
        <f t="array" ref="A140">A139+Table4[Salto]</f>
        <v>1.2155911272684077</v>
      </c>
      <c r="B140" s="4">
        <f t="shared" si="48"/>
        <v>2.6542242166913419</v>
      </c>
      <c r="C140" s="4">
        <f t="shared" si="49"/>
        <v>0.14586452916438386</v>
      </c>
      <c r="D140" s="4">
        <f t="shared" si="50"/>
        <v>37.534888951275072</v>
      </c>
      <c r="E140" s="4">
        <f t="shared" si="51"/>
        <v>-36.233870423291059</v>
      </c>
      <c r="F140" s="4">
        <f t="shared" si="52"/>
        <v>-24.830054654298358</v>
      </c>
      <c r="G140" s="4">
        <f t="shared" si="53"/>
        <v>42.290308475068763</v>
      </c>
      <c r="H140" s="4">
        <f t="shared" si="54"/>
        <v>-7.3124983476931424</v>
      </c>
      <c r="I140" s="4">
        <f t="shared" si="55"/>
        <v>-25.980646801005587</v>
      </c>
      <c r="J140" s="4">
        <f t="shared" si="56"/>
        <v>21.167456399641161</v>
      </c>
      <c r="K140" s="4">
        <f t="shared" si="57"/>
        <v>6.9697855522245789</v>
      </c>
      <c r="L140" s="4">
        <f t="shared" si="58"/>
        <v>-21.076772130845555</v>
      </c>
      <c r="M140" s="4">
        <f t="shared" si="59"/>
        <v>7.6172675080885126</v>
      </c>
    </row>
    <row r="141" spans="1:13">
      <c r="A141" s="4" cm="1">
        <f t="array" ref="A141">A140+Table4[Salto]</f>
        <v>1.2471649227818729</v>
      </c>
      <c r="B141" s="4">
        <f t="shared" si="48"/>
        <v>3.0173065662549088</v>
      </c>
      <c r="C141" s="4">
        <f t="shared" si="49"/>
        <v>-2.9346653919027013</v>
      </c>
      <c r="D141" s="4">
        <f t="shared" si="50"/>
        <v>37.955714404382647</v>
      </c>
      <c r="E141" s="4">
        <f t="shared" si="51"/>
        <v>-33.503608384578591</v>
      </c>
      <c r="F141" s="4">
        <f t="shared" si="52"/>
        <v>-28.965069830151609</v>
      </c>
      <c r="G141" s="4">
        <f t="shared" si="53"/>
        <v>41.14853628390582</v>
      </c>
      <c r="H141" s="4">
        <f t="shared" si="54"/>
        <v>-1.6987688833163441</v>
      </c>
      <c r="I141" s="4">
        <f t="shared" si="55"/>
        <v>-28.586124865274627</v>
      </c>
      <c r="J141" s="4">
        <f t="shared" si="56"/>
        <v>17.087032208980755</v>
      </c>
      <c r="K141" s="4">
        <f t="shared" si="57"/>
        <v>12.380493156365828</v>
      </c>
      <c r="L141" s="4">
        <f t="shared" si="58"/>
        <v>-20.558344483758866</v>
      </c>
      <c r="M141" s="4">
        <f t="shared" si="59"/>
        <v>1.8054750015422856</v>
      </c>
    </row>
    <row r="142" spans="1:13">
      <c r="A142" s="4" cm="1">
        <f t="array" ref="A142">A141+Table4[Salto]</f>
        <v>1.278738718295338</v>
      </c>
      <c r="B142" s="4">
        <f t="shared" si="48"/>
        <v>3.4190785296205721</v>
      </c>
      <c r="C142" s="4">
        <f t="shared" si="49"/>
        <v>-5.3967136352671252</v>
      </c>
      <c r="D142" s="4">
        <f t="shared" si="50"/>
        <v>38.338704775924256</v>
      </c>
      <c r="E142" s="4">
        <f t="shared" si="51"/>
        <v>-30.639791134996777</v>
      </c>
      <c r="F142" s="4">
        <f t="shared" si="52"/>
        <v>-32.840400561029263</v>
      </c>
      <c r="G142" s="4">
        <f t="shared" si="53"/>
        <v>39.351297420915628</v>
      </c>
      <c r="H142" s="4">
        <f t="shared" si="54"/>
        <v>3.9572104847230771</v>
      </c>
      <c r="I142" s="4">
        <f t="shared" si="55"/>
        <v>-30.168752499873566</v>
      </c>
      <c r="J142" s="4">
        <f t="shared" si="56"/>
        <v>12.175327309730154</v>
      </c>
      <c r="K142" s="4">
        <f t="shared" si="57"/>
        <v>17.005492704799739</v>
      </c>
      <c r="L142" s="4">
        <f t="shared" si="58"/>
        <v>-18.390986306108768</v>
      </c>
      <c r="M142" s="4">
        <f t="shared" si="59"/>
        <v>-4.1848158293516056</v>
      </c>
    </row>
    <row r="143" spans="1:13">
      <c r="A143" s="4" cm="1">
        <f t="array" ref="A143">A142+Table4[Salto]</f>
        <v>1.3103125138088032</v>
      </c>
      <c r="B143" s="4">
        <f t="shared" si="48"/>
        <v>3.8625529258194344</v>
      </c>
      <c r="C143" s="4">
        <f t="shared" si="49"/>
        <v>-6.9089184715105709</v>
      </c>
      <c r="D143" s="4">
        <f t="shared" si="50"/>
        <v>38.683478292768392</v>
      </c>
      <c r="E143" s="4">
        <f t="shared" si="51"/>
        <v>-27.65383469016605</v>
      </c>
      <c r="F143" s="4">
        <f t="shared" si="52"/>
        <v>-36.421302821943762</v>
      </c>
      <c r="G143" s="4">
        <f t="shared" si="53"/>
        <v>36.927220612230137</v>
      </c>
      <c r="H143" s="4">
        <f t="shared" si="54"/>
        <v>9.5147704836568359</v>
      </c>
      <c r="I143" s="4">
        <f t="shared" si="55"/>
        <v>-30.671901135393767</v>
      </c>
      <c r="J143" s="4">
        <f t="shared" si="56"/>
        <v>6.671295165492559</v>
      </c>
      <c r="K143" s="4">
        <f t="shared" si="57"/>
        <v>20.551266051120415</v>
      </c>
      <c r="L143" s="4">
        <f t="shared" si="58"/>
        <v>-14.748535674819058</v>
      </c>
      <c r="M143" s="4">
        <f t="shared" si="59"/>
        <v>-9.7613747544562717</v>
      </c>
    </row>
    <row r="144" spans="1:13">
      <c r="A144" s="4" cm="1">
        <f t="array" ref="A144">A143+Table4[Salto]</f>
        <v>1.3418863093222684</v>
      </c>
      <c r="B144" s="4">
        <f t="shared" si="48"/>
        <v>4.3508950740179042</v>
      </c>
      <c r="C144" s="4">
        <f t="shared" si="49"/>
        <v>-7.2311079376468346</v>
      </c>
      <c r="D144" s="4">
        <f t="shared" si="50"/>
        <v>38.989691277175453</v>
      </c>
      <c r="E144" s="4">
        <f t="shared" si="51"/>
        <v>-24.557641948367049</v>
      </c>
      <c r="F144" s="4">
        <f t="shared" si="52"/>
        <v>-39.675672267157637</v>
      </c>
      <c r="G144" s="4">
        <f t="shared" si="53"/>
        <v>33.914919662896502</v>
      </c>
      <c r="H144" s="4">
        <f t="shared" si="54"/>
        <v>14.835689618577536</v>
      </c>
      <c r="I144" s="4">
        <f t="shared" si="55"/>
        <v>-30.077567429288607</v>
      </c>
      <c r="J144" s="4">
        <f t="shared" si="56"/>
        <v>0.84270584218732036</v>
      </c>
      <c r="K144" s="4">
        <f t="shared" si="57"/>
        <v>22.792786401424742</v>
      </c>
      <c r="L144" s="4">
        <f t="shared" si="58"/>
        <v>-9.9231439378131245</v>
      </c>
      <c r="M144" s="4">
        <f t="shared" si="59"/>
        <v>-14.372875157281971</v>
      </c>
    </row>
    <row r="145" spans="1:13">
      <c r="A145" s="4" cm="1">
        <f t="array" ref="A145">A144+Table4[Salto]</f>
        <v>1.3734601048357336</v>
      </c>
      <c r="B145" s="4">
        <f t="shared" si="48"/>
        <v>4.8874265589531314</v>
      </c>
      <c r="C145" s="4">
        <f t="shared" si="49"/>
        <v>-6.2421816841236719</v>
      </c>
      <c r="D145" s="4">
        <f t="shared" si="50"/>
        <v>39.25703848938317</v>
      </c>
      <c r="E145" s="4">
        <f t="shared" si="51"/>
        <v>-21.363555242096513</v>
      </c>
      <c r="F145" s="4">
        <f t="shared" si="52"/>
        <v>-42.574332059601879</v>
      </c>
      <c r="G145" s="4">
        <f t="shared" si="53"/>
        <v>30.362378366655985</v>
      </c>
      <c r="H145" s="4">
        <f t="shared" si="54"/>
        <v>19.787631864817666</v>
      </c>
      <c r="I145" s="4">
        <f t="shared" si="55"/>
        <v>-28.40701744995744</v>
      </c>
      <c r="J145" s="4">
        <f t="shared" si="56"/>
        <v>-5.0268809522444933</v>
      </c>
      <c r="K145" s="4">
        <f t="shared" si="57"/>
        <v>23.587799277314939</v>
      </c>
      <c r="L145" s="4">
        <f t="shared" si="58"/>
        <v>-4.3018430257682319</v>
      </c>
      <c r="M145" s="4">
        <f t="shared" si="59"/>
        <v>-17.563400952626875</v>
      </c>
    </row>
    <row r="146" spans="1:13">
      <c r="A146" s="4" cm="1">
        <f t="array" ref="A146">A145+Table4[Salto]</f>
        <v>1.4050339003491987</v>
      </c>
      <c r="B146" s="4">
        <f t="shared" si="48"/>
        <v>5.4756289963684477</v>
      </c>
      <c r="C146" s="4">
        <f t="shared" si="49"/>
        <v>-3.9558336725980769</v>
      </c>
      <c r="D146" s="4">
        <f t="shared" si="50"/>
        <v>39.485253431876238</v>
      </c>
      <c r="E146" s="4">
        <f t="shared" si="51"/>
        <v>-18.084307137909498</v>
      </c>
      <c r="F146" s="4">
        <f t="shared" si="52"/>
        <v>-45.091294453906379</v>
      </c>
      <c r="G146" s="4">
        <f t="shared" si="53"/>
        <v>26.32618615852299</v>
      </c>
      <c r="H146" s="4">
        <f t="shared" si="54"/>
        <v>24.247437983412272</v>
      </c>
      <c r="I146" s="4">
        <f t="shared" si="55"/>
        <v>-25.720025747892777</v>
      </c>
      <c r="J146" s="4">
        <f t="shared" si="56"/>
        <v>-10.65191099106929</v>
      </c>
      <c r="K146" s="4">
        <f t="shared" si="57"/>
        <v>22.885850467227009</v>
      </c>
      <c r="L146" s="4">
        <f t="shared" si="58"/>
        <v>1.6644973571584292</v>
      </c>
      <c r="M146" s="4">
        <f t="shared" si="59"/>
        <v>-19.017520740017073</v>
      </c>
    </row>
    <row r="147" spans="1:13">
      <c r="A147" s="4" cm="1">
        <f t="array" ref="A147">A146+Table4[Salto]</f>
        <v>1.4366076958626639</v>
      </c>
      <c r="B147" s="4">
        <f t="shared" si="48"/>
        <v>6.1191477984488136</v>
      </c>
      <c r="C147" s="4">
        <f t="shared" si="49"/>
        <v>-0.52214590426385854</v>
      </c>
      <c r="D147" s="4">
        <f t="shared" si="50"/>
        <v>39.67410861503685</v>
      </c>
      <c r="E147" s="4">
        <f t="shared" si="51"/>
        <v>-14.732969680674129</v>
      </c>
      <c r="F147" s="4">
        <f t="shared" si="52"/>
        <v>-47.203993787836545</v>
      </c>
      <c r="G147" s="4">
        <f t="shared" si="53"/>
        <v>21.870636685670448</v>
      </c>
      <c r="H147" s="4">
        <f t="shared" si="54"/>
        <v>28.104188601682019</v>
      </c>
      <c r="I147" s="4">
        <f t="shared" si="55"/>
        <v>-22.112736540960054</v>
      </c>
      <c r="J147" s="4">
        <f t="shared" si="56"/>
        <v>-15.758727684931779</v>
      </c>
      <c r="K147" s="4">
        <f t="shared" si="57"/>
        <v>20.731488021696126</v>
      </c>
      <c r="L147" s="4">
        <f t="shared" si="58"/>
        <v>7.4973328018625756</v>
      </c>
      <c r="M147" s="4">
        <f t="shared" si="59"/>
        <v>-18.591472935809367</v>
      </c>
    </row>
    <row r="148" spans="1:13">
      <c r="A148" s="4" cm="1">
        <f t="array" ref="A148">A147+Table4[Salto]</f>
        <v>1.4681814913761291</v>
      </c>
      <c r="B148" s="4">
        <f t="shared" si="48"/>
        <v>6.821795939256238</v>
      </c>
      <c r="C148" s="4">
        <f t="shared" si="49"/>
        <v>3.7854655710656822</v>
      </c>
      <c r="D148" s="4">
        <f t="shared" si="50"/>
        <v>39.823415783911258</v>
      </c>
      <c r="E148" s="4">
        <f t="shared" si="51"/>
        <v>-11.32290228456627</v>
      </c>
      <c r="F148" s="4">
        <f t="shared" si="52"/>
        <v>-48.893488793266656</v>
      </c>
      <c r="G148" s="4">
        <f t="shared" si="53"/>
        <v>17.066703655740895</v>
      </c>
      <c r="H148" s="4">
        <f t="shared" si="54"/>
        <v>31.261962877378767</v>
      </c>
      <c r="I148" s="4">
        <f t="shared" si="55"/>
        <v>-17.714223543510048</v>
      </c>
      <c r="J148" s="4">
        <f t="shared" si="56"/>
        <v>-20.098885420340132</v>
      </c>
      <c r="K148" s="4">
        <f t="shared" si="57"/>
        <v>17.261435083087314</v>
      </c>
      <c r="L148" s="4">
        <f t="shared" si="58"/>
        <v>12.728826977839947</v>
      </c>
      <c r="M148" s="4">
        <f t="shared" si="59"/>
        <v>-16.327378765209396</v>
      </c>
    </row>
    <row r="149" spans="1:13">
      <c r="A149" s="4" cm="1">
        <f t="array" ref="A149">A148+Table4[Salto]</f>
        <v>1.4997552868895943</v>
      </c>
      <c r="B149" s="4">
        <f t="shared" si="48"/>
        <v>7.5875577201652451</v>
      </c>
      <c r="C149" s="4">
        <f t="shared" si="49"/>
        <v>8.5969322796372776</v>
      </c>
      <c r="D149" s="4">
        <f t="shared" si="50"/>
        <v>39.933026105866468</v>
      </c>
      <c r="E149" s="4">
        <f t="shared" si="51"/>
        <v>-7.867698478525794</v>
      </c>
      <c r="F149" s="4">
        <f t="shared" si="52"/>
        <v>-50.144632412884341</v>
      </c>
      <c r="G149" s="4">
        <f t="shared" si="53"/>
        <v>11.990910276585119</v>
      </c>
      <c r="H149" s="4">
        <f t="shared" si="54"/>
        <v>33.642224135945582</v>
      </c>
      <c r="I149" s="4">
        <f t="shared" si="55"/>
        <v>-12.681871533317166</v>
      </c>
      <c r="J149" s="4">
        <f t="shared" si="56"/>
        <v>-23.461236389204686</v>
      </c>
      <c r="K149" s="4">
        <f t="shared" si="57"/>
        <v>12.695912971598469</v>
      </c>
      <c r="L149" s="4">
        <f t="shared" si="58"/>
        <v>16.939375550021239</v>
      </c>
      <c r="M149" s="4">
        <f t="shared" si="59"/>
        <v>-12.449077946447611</v>
      </c>
    </row>
    <row r="150" spans="1:13">
      <c r="A150" s="4" cm="1">
        <f t="array" ref="A150">A149+Table4[Salto]</f>
        <v>1.5313290824030594</v>
      </c>
      <c r="B150" s="4">
        <f t="shared" si="48"/>
        <v>8.4205925352982938</v>
      </c>
      <c r="C150" s="4">
        <f t="shared" si="49"/>
        <v>13.483354603217037</v>
      </c>
      <c r="D150" s="4">
        <f t="shared" si="50"/>
        <v>40.002830318949769</v>
      </c>
      <c r="E150" s="4">
        <f t="shared" si="51"/>
        <v>-4.3811317184627407</v>
      </c>
      <c r="F150" s="4">
        <f t="shared" si="52"/>
        <v>-50.946207600145264</v>
      </c>
      <c r="G150" s="4">
        <f t="shared" si="53"/>
        <v>6.7241102964425057</v>
      </c>
      <c r="H150" s="4">
        <f t="shared" si="54"/>
        <v>35.185773147955778</v>
      </c>
      <c r="I150" s="4">
        <f t="shared" si="55"/>
        <v>-7.1957449101605011</v>
      </c>
      <c r="J150" s="4">
        <f t="shared" si="56"/>
        <v>-25.682202887583585</v>
      </c>
      <c r="K150" s="4">
        <f t="shared" si="57"/>
        <v>7.3246651939058429</v>
      </c>
      <c r="L150" s="4">
        <f t="shared" si="58"/>
        <v>19.791261534600878</v>
      </c>
      <c r="M150" s="4">
        <f t="shared" si="59"/>
        <v>-7.3399987722856457</v>
      </c>
    </row>
    <row r="151" spans="1:13">
      <c r="A151" s="4" cm="1">
        <f t="array" ref="A151">A150+Table4[Salto]</f>
        <v>1.5629028779165246</v>
      </c>
      <c r="B151" s="4">
        <f t="shared" si="48"/>
        <v>9.3252386369612239</v>
      </c>
      <c r="C151" s="4">
        <f t="shared" si="49"/>
        <v>18.002232478413696</v>
      </c>
      <c r="D151" s="4">
        <f t="shared" si="50"/>
        <v>40.032758840803496</v>
      </c>
      <c r="E151" s="4">
        <f t="shared" si="51"/>
        <v>-0.87710048222180215</v>
      </c>
      <c r="F151" s="4">
        <f t="shared" si="52"/>
        <v>-51.291027884972507</v>
      </c>
      <c r="G151" s="4">
        <f t="shared" si="53"/>
        <v>1.3502000617187957</v>
      </c>
      <c r="H151" s="4">
        <f t="shared" si="54"/>
        <v>35.854220466971732</v>
      </c>
      <c r="I151" s="4">
        <f t="shared" si="55"/>
        <v>-1.4521447466816066</v>
      </c>
      <c r="J151" s="4">
        <f t="shared" si="56"/>
        <v>-26.653735338350295</v>
      </c>
      <c r="K151" s="4">
        <f t="shared" si="57"/>
        <v>1.4885693382308103</v>
      </c>
      <c r="L151" s="4">
        <f t="shared" si="58"/>
        <v>21.055742686629443</v>
      </c>
      <c r="M151" s="4">
        <f t="shared" si="59"/>
        <v>-1.5052504637143713</v>
      </c>
    </row>
    <row r="152" spans="1:13">
      <c r="A152" s="4" cm="1">
        <f t="array" ref="A152">A151+Table4[Salto]</f>
        <v>1.5944766734299898</v>
      </c>
      <c r="B152" s="4">
        <f t="shared" si="48"/>
        <v>10.306016901078696</v>
      </c>
      <c r="C152" s="4">
        <f t="shared" si="49"/>
        <v>21.745493338234205</v>
      </c>
      <c r="D152" s="4">
        <f t="shared" si="50"/>
        <v>40.022781838026177</v>
      </c>
      <c r="E152" s="4">
        <f t="shared" si="51"/>
        <v>2.6304271338273089</v>
      </c>
      <c r="F152" s="4">
        <f t="shared" si="52"/>
        <v>-51.1760018035855</v>
      </c>
      <c r="G152" s="4">
        <f t="shared" si="53"/>
        <v>-4.0452178916428156</v>
      </c>
      <c r="H152" s="4">
        <f t="shared" si="54"/>
        <v>35.630941209462023</v>
      </c>
      <c r="I152" s="4">
        <f t="shared" si="55"/>
        <v>4.3434151309973332</v>
      </c>
      <c r="J152" s="4">
        <f t="shared" si="56"/>
        <v>-26.328568881568088</v>
      </c>
      <c r="K152" s="4">
        <f t="shared" si="57"/>
        <v>-4.4419961727119937</v>
      </c>
      <c r="L152" s="4">
        <f t="shared" si="58"/>
        <v>20.631398311529647</v>
      </c>
      <c r="M152" s="4">
        <f t="shared" si="59"/>
        <v>4.4783144639001122</v>
      </c>
    </row>
    <row r="153" spans="1:13">
      <c r="A153" s="4" cm="1">
        <f t="array" ref="A153">A152+Table4[Salto]</f>
        <v>1.626050468943455</v>
      </c>
      <c r="B153" s="4">
        <f t="shared" si="48"/>
        <v>11.367634592629633</v>
      </c>
      <c r="C153" s="4">
        <f t="shared" si="49"/>
        <v>24.385283885710102</v>
      </c>
      <c r="D153" s="4">
        <f t="shared" si="50"/>
        <v>39.972909255911162</v>
      </c>
      <c r="E153" s="4">
        <f t="shared" si="51"/>
        <v>6.1274690957193449</v>
      </c>
      <c r="F153" s="4">
        <f t="shared" si="52"/>
        <v>-50.60216061481696</v>
      </c>
      <c r="G153" s="4">
        <f t="shared" si="53"/>
        <v>-9.3761984251662831</v>
      </c>
      <c r="H153" s="4">
        <f t="shared" si="54"/>
        <v>34.521488530545199</v>
      </c>
      <c r="I153" s="4">
        <f t="shared" si="55"/>
        <v>9.9835617075060075</v>
      </c>
      <c r="J153" s="4">
        <f t="shared" si="56"/>
        <v>-24.722522800497966</v>
      </c>
      <c r="K153" s="4">
        <f t="shared" si="57"/>
        <v>-10.090657551707807</v>
      </c>
      <c r="L153" s="4">
        <f t="shared" si="58"/>
        <v>18.552263951225974</v>
      </c>
      <c r="M153" s="4">
        <f t="shared" si="59"/>
        <v>10.019130736991425</v>
      </c>
    </row>
    <row r="154" spans="1:13">
      <c r="A154" s="4" cm="1">
        <f t="array" ref="A154">A153+Table4[Salto]</f>
        <v>1.6576242644569201</v>
      </c>
      <c r="B154" s="4">
        <f t="shared" si="48"/>
        <v>12.514989131082647</v>
      </c>
      <c r="C154" s="4">
        <f t="shared" si="49"/>
        <v>25.712586859555184</v>
      </c>
      <c r="D154" s="4">
        <f t="shared" si="50"/>
        <v>39.883190808532916</v>
      </c>
      <c r="E154" s="4">
        <f t="shared" si="51"/>
        <v>9.6000851683823605</v>
      </c>
      <c r="F154" s="4">
        <f t="shared" si="52"/>
        <v>-49.574649054429081</v>
      </c>
      <c r="G154" s="4">
        <f t="shared" si="53"/>
        <v>-14.557822842259929</v>
      </c>
      <c r="H154" s="4">
        <f t="shared" si="54"/>
        <v>32.553455512048238</v>
      </c>
      <c r="I154" s="4">
        <f t="shared" si="55"/>
        <v>15.266482866778601</v>
      </c>
      <c r="J154" s="4">
        <f t="shared" si="56"/>
        <v>-21.913730916623521</v>
      </c>
      <c r="K154" s="4">
        <f t="shared" si="57"/>
        <v>-15.098931603185545</v>
      </c>
      <c r="L154" s="4">
        <f t="shared" si="58"/>
        <v>14.985101483191389</v>
      </c>
      <c r="M154" s="4">
        <f t="shared" si="59"/>
        <v>14.569405437119752</v>
      </c>
    </row>
    <row r="155" spans="1:13">
      <c r="A155" s="4" cm="1">
        <f t="array" ref="A155">A154+Table4[Salto]</f>
        <v>1.6891980599703853</v>
      </c>
      <c r="B155" s="4">
        <f t="shared" si="48"/>
        <v>13.753171855831507</v>
      </c>
      <c r="C155" s="4">
        <f t="shared" si="49"/>
        <v>25.664337497572923</v>
      </c>
      <c r="D155" s="4">
        <f t="shared" si="50"/>
        <v>39.75371592919096</v>
      </c>
      <c r="E155" s="4">
        <f t="shared" si="51"/>
        <v>13.034432485503892</v>
      </c>
      <c r="F155" s="4">
        <f t="shared" si="52"/>
        <v>-48.102679210320481</v>
      </c>
      <c r="G155" s="4">
        <f t="shared" si="53"/>
        <v>-19.507551582150615</v>
      </c>
      <c r="H155" s="4">
        <f t="shared" si="54"/>
        <v>29.775788897847256</v>
      </c>
      <c r="I155" s="4">
        <f t="shared" si="55"/>
        <v>20.003148504065308</v>
      </c>
      <c r="J155" s="4">
        <f t="shared" si="56"/>
        <v>-18.038840394821136</v>
      </c>
      <c r="K155" s="4">
        <f t="shared" si="57"/>
        <v>-19.148976281781064</v>
      </c>
      <c r="L155" s="4">
        <f t="shared" si="58"/>
        <v>10.216023590559001</v>
      </c>
      <c r="M155" s="4">
        <f t="shared" si="59"/>
        <v>17.679275559479805</v>
      </c>
    </row>
    <row r="156" spans="1:13">
      <c r="A156" s="4" cm="1">
        <f t="array" ref="A156">A155+Table4[Salto]</f>
        <v>1.7207718554838505</v>
      </c>
      <c r="B156" s="4">
        <f t="shared" si="48"/>
        <v>15.087471791630543</v>
      </c>
      <c r="C156" s="4">
        <f t="shared" si="49"/>
        <v>24.335796725015584</v>
      </c>
      <c r="D156" s="4">
        <f t="shared" si="50"/>
        <v>39.584613681260784</v>
      </c>
      <c r="E156" s="4">
        <f t="shared" si="51"/>
        <v>16.416820731256713</v>
      </c>
      <c r="F156" s="4">
        <f t="shared" si="52"/>
        <v>-46.199447932152829</v>
      </c>
      <c r="G156" s="4">
        <f t="shared" si="53"/>
        <v>-24.146539015890593</v>
      </c>
      <c r="H156" s="4">
        <f t="shared" si="54"/>
        <v>26.257571744507171</v>
      </c>
      <c r="I156" s="4">
        <f t="shared" si="55"/>
        <v>24.024074280193265</v>
      </c>
      <c r="J156" s="4">
        <f t="shared" si="56"/>
        <v>-13.286363886046107</v>
      </c>
      <c r="K156" s="4">
        <f t="shared" si="57"/>
        <v>-21.983762025767181</v>
      </c>
      <c r="L156" s="4">
        <f t="shared" si="58"/>
        <v>4.6275454192350711</v>
      </c>
      <c r="M156" s="4">
        <f t="shared" si="59"/>
        <v>19.041283728419284</v>
      </c>
    </row>
    <row r="157" spans="1:13">
      <c r="A157" s="4" cm="1">
        <f t="array" ref="A157">A156+Table4[Salto]</f>
        <v>1.7523456509973157</v>
      </c>
      <c r="B157" s="4">
        <f t="shared" si="48"/>
        <v>16.523379414030114</v>
      </c>
      <c r="C157" s="4">
        <f t="shared" si="49"/>
        <v>21.976389569239451</v>
      </c>
      <c r="D157" s="4">
        <f t="shared" si="50"/>
        <v>39.376052629540709</v>
      </c>
      <c r="E157" s="4">
        <f t="shared" si="51"/>
        <v>19.733766713913582</v>
      </c>
      <c r="F157" s="4">
        <f t="shared" si="52"/>
        <v>-43.88201851585567</v>
      </c>
      <c r="G157" s="4">
        <f t="shared" si="53"/>
        <v>-28.400889400679613</v>
      </c>
      <c r="H157" s="4">
        <f t="shared" si="54"/>
        <v>22.08630526378937</v>
      </c>
      <c r="I157" s="4">
        <f t="shared" si="55"/>
        <v>27.185386001749826</v>
      </c>
      <c r="J157" s="4">
        <f t="shared" si="56"/>
        <v>-7.8875084244665405</v>
      </c>
      <c r="K157" s="4">
        <f t="shared" si="57"/>
        <v>-23.423383724166225</v>
      </c>
      <c r="L157" s="4">
        <f t="shared" si="58"/>
        <v>-1.3320959519941047</v>
      </c>
      <c r="M157" s="4">
        <f t="shared" si="59"/>
        <v>18.52077497740812</v>
      </c>
    </row>
    <row r="158" spans="1:13">
      <c r="A158" s="4" cm="1">
        <f t="array" ref="A158">A157+Table4[Salto]</f>
        <v>1.7839194465107808</v>
      </c>
      <c r="B158" s="4">
        <f t="shared" si="48"/>
        <v>18.06659041481203</v>
      </c>
      <c r="C158" s="4">
        <f t="shared" si="49"/>
        <v>18.968897935676683</v>
      </c>
      <c r="D158" s="4">
        <f t="shared" si="50"/>
        <v>39.128240672222795</v>
      </c>
      <c r="E158" s="4">
        <f t="shared" si="51"/>
        <v>22.972048113804604</v>
      </c>
      <c r="F158" s="4">
        <f t="shared" si="52"/>
        <v>-41.171167723759289</v>
      </c>
      <c r="G158" s="4">
        <f t="shared" si="53"/>
        <v>-32.20283398605072</v>
      </c>
      <c r="H158" s="4">
        <f t="shared" si="54"/>
        <v>17.365732589143271</v>
      </c>
      <c r="I158" s="4">
        <f t="shared" si="55"/>
        <v>29.373967635416246</v>
      </c>
      <c r="J158" s="4">
        <f t="shared" si="56"/>
        <v>-2.1049272513701474</v>
      </c>
      <c r="K158" s="4">
        <f t="shared" si="57"/>
        <v>-23.37647810482764</v>
      </c>
      <c r="L158" s="4">
        <f t="shared" si="58"/>
        <v>-7.1848934240649731</v>
      </c>
      <c r="M158" s="4">
        <f t="shared" si="59"/>
        <v>16.169209415162545</v>
      </c>
    </row>
    <row r="159" spans="1:13">
      <c r="A159" s="4" cm="1">
        <f t="array" ref="A159">A158+Table4[Salto]</f>
        <v>1.815493242024246</v>
      </c>
      <c r="B159" s="4">
        <f t="shared" si="48"/>
        <v>19.723009467425001</v>
      </c>
      <c r="C159" s="4">
        <f t="shared" si="49"/>
        <v>15.793639647468156</v>
      </c>
      <c r="D159" s="4">
        <f t="shared" si="50"/>
        <v>38.841424833655431</v>
      </c>
      <c r="E159" s="4">
        <f t="shared" si="51"/>
        <v>26.118756191362021</v>
      </c>
      <c r="F159" s="4">
        <f t="shared" si="52"/>
        <v>-38.091199511886714</v>
      </c>
      <c r="G159" s="4">
        <f t="shared" si="53"/>
        <v>-35.491810521462341</v>
      </c>
      <c r="H159" s="4">
        <f t="shared" si="54"/>
        <v>12.213258591057667</v>
      </c>
      <c r="I159" s="4">
        <f t="shared" si="55"/>
        <v>30.511508753496781</v>
      </c>
      <c r="J159" s="4">
        <f t="shared" si="56"/>
        <v>3.780058212632309</v>
      </c>
      <c r="K159" s="4">
        <f t="shared" si="57"/>
        <v>-21.846021957327313</v>
      </c>
      <c r="L159" s="4">
        <f t="shared" si="58"/>
        <v>-12.461409564964304</v>
      </c>
      <c r="M159" s="4">
        <f t="shared" si="59"/>
        <v>12.219074620904617</v>
      </c>
    </row>
    <row r="160" spans="1:13">
      <c r="A160" s="4" cm="1">
        <f t="array" ref="A160">A159+Table4[Salto]</f>
        <v>1.8470670375377112</v>
      </c>
      <c r="B160" s="4">
        <f t="shared" si="48"/>
        <v>21.498753992420081</v>
      </c>
      <c r="C160" s="4">
        <f t="shared" si="49"/>
        <v>12.980892850635811</v>
      </c>
      <c r="D160" s="4">
        <f t="shared" si="50"/>
        <v>38.515891018104071</v>
      </c>
      <c r="E160" s="4">
        <f t="shared" si="51"/>
        <v>29.161347245142736</v>
      </c>
      <c r="F160" s="4">
        <f t="shared" si="52"/>
        <v>-34.669727134420775</v>
      </c>
      <c r="G160" s="4">
        <f t="shared" si="53"/>
        <v>-38.215427969514991</v>
      </c>
      <c r="H160" s="4">
        <f t="shared" si="54"/>
        <v>6.7570299127759323</v>
      </c>
      <c r="I160" s="4">
        <f t="shared" si="55"/>
        <v>30.557306587537138</v>
      </c>
      <c r="J160" s="4">
        <f t="shared" si="56"/>
        <v>9.4811445986042635</v>
      </c>
      <c r="K160" s="4">
        <f t="shared" si="57"/>
        <v>-18.929143215812164</v>
      </c>
      <c r="L160" s="4">
        <f t="shared" si="58"/>
        <v>-16.738428946688416</v>
      </c>
      <c r="M160" s="4">
        <f t="shared" si="59"/>
        <v>7.0609007549080234</v>
      </c>
    </row>
    <row r="161" spans="1:13">
      <c r="A161" s="4" cm="1">
        <f t="array" ref="A161">A160+Table4[Salto]</f>
        <v>1.8786408330511764</v>
      </c>
      <c r="B161" s="4">
        <f t="shared" si="48"/>
        <v>23.400157922886095</v>
      </c>
      <c r="C161" s="4">
        <f t="shared" si="49"/>
        <v>11.05616592879608</v>
      </c>
      <c r="D161" s="4">
        <f t="shared" si="50"/>
        <v>38.151963724755653</v>
      </c>
      <c r="E161" s="4">
        <f t="shared" si="51"/>
        <v>32.087692614701808</v>
      </c>
      <c r="F161" s="4">
        <f t="shared" si="52"/>
        <v>-30.937425578874109</v>
      </c>
      <c r="G161" s="4">
        <f t="shared" si="53"/>
        <v>-40.330301057602902</v>
      </c>
      <c r="H161" s="4">
        <f t="shared" si="54"/>
        <v>1.1327478485015576</v>
      </c>
      <c r="I161" s="4">
        <f t="shared" si="55"/>
        <v>29.509722428742531</v>
      </c>
      <c r="J161" s="4">
        <f t="shared" si="56"/>
        <v>14.720975191072704</v>
      </c>
      <c r="K161" s="4">
        <f t="shared" si="57"/>
        <v>-14.810956891112882</v>
      </c>
      <c r="L161" s="4">
        <f t="shared" si="58"/>
        <v>-19.672903137302114</v>
      </c>
      <c r="M161" s="4">
        <f t="shared" si="59"/>
        <v>1.2046507859138311</v>
      </c>
    </row>
    <row r="162" spans="1:13">
      <c r="A162" s="4" cm="1">
        <f t="array" ref="A162">A161+Table4[Salto]</f>
        <v>1.9102146285646415</v>
      </c>
      <c r="B162" s="4">
        <f t="shared" ref="B162:B193" si="60">A162^5</f>
        <v>25.433775469885074</v>
      </c>
      <c r="C162" s="4">
        <f t="shared" ref="C162:C193" si="61">SUM(D162:M162)</f>
        <v>10.48382193507684</v>
      </c>
      <c r="D162" s="4">
        <f t="shared" ref="D162:D192" si="62">$P$2*SIN($O$2*$A162)</f>
        <v>37.750005724250755</v>
      </c>
      <c r="E162" s="4">
        <f t="shared" ref="E162:E193" si="63">$P$3*SIN($O$3*$A162)</f>
        <v>34.886127028990771</v>
      </c>
      <c r="F162" s="4">
        <f t="shared" ref="F162:F193" si="64">$P$4*SIN($O$4*$A162)</f>
        <v>-26.927756551488638</v>
      </c>
      <c r="G162" s="4">
        <f t="shared" ref="G162:G193" si="65">$P$5*SIN($O$5*$A162)</f>
        <v>-41.802741374191292</v>
      </c>
      <c r="H162" s="4">
        <f t="shared" ref="H162:H193" si="66">$P$6*SIN($O$6*$A162)</f>
        <v>-4.5197066693321926</v>
      </c>
      <c r="I162" s="4">
        <f t="shared" ref="I162:I193" si="67">$P$7*SIN($O$7*$A162)</f>
        <v>27.406240263207209</v>
      </c>
      <c r="J162" s="4">
        <f t="shared" ref="J162:J193" si="68">$P$8*SIN($O$8*$A162)</f>
        <v>19.24463327691112</v>
      </c>
      <c r="K162" s="4">
        <f t="shared" ref="K162:K193" si="69">$P$9*SIN($O$9*$A162)</f>
        <v>-9.7528170447642655</v>
      </c>
      <c r="L162" s="4">
        <f t="shared" ref="L162:L193" si="70">$P$10*SIN($O$10*$A162)</f>
        <v>-21.029465709908798</v>
      </c>
      <c r="M162" s="4">
        <f t="shared" ref="M162:M193" si="71">$P$11*SIN($O$11*$A162)</f>
        <v>-4.7706970085978275</v>
      </c>
    </row>
    <row r="163" spans="1:13">
      <c r="A163" s="4" cm="1">
        <f t="array" ref="A163">A162+Table4[Salto]</f>
        <v>1.9417884240781067</v>
      </c>
      <c r="B163" s="4">
        <f t="shared" si="60"/>
        <v>27.606384887887721</v>
      </c>
      <c r="C163" s="4">
        <f t="shared" si="61"/>
        <v>11.614937148540152</v>
      </c>
      <c r="D163" s="4">
        <f t="shared" si="62"/>
        <v>37.310417697065915</v>
      </c>
      <c r="E163" s="4">
        <f t="shared" si="63"/>
        <v>37.545495107549861</v>
      </c>
      <c r="F163" s="4">
        <f t="shared" si="64"/>
        <v>-22.67666847849004</v>
      </c>
      <c r="G163" s="4">
        <f t="shared" si="65"/>
        <v>-42.609294001051246</v>
      </c>
      <c r="H163" s="4">
        <f t="shared" si="66"/>
        <v>-10.059752034138649</v>
      </c>
      <c r="I163" s="4">
        <f t="shared" si="67"/>
        <v>24.322125543907426</v>
      </c>
      <c r="J163" s="4">
        <f t="shared" si="68"/>
        <v>22.832043792584631</v>
      </c>
      <c r="K163" s="4">
        <f t="shared" si="69"/>
        <v>-4.0757303744782654</v>
      </c>
      <c r="L163" s="4">
        <f t="shared" si="70"/>
        <v>-20.699310362310417</v>
      </c>
      <c r="M163" s="4">
        <f t="shared" si="71"/>
        <v>-10.274389742099055</v>
      </c>
    </row>
    <row r="164" spans="1:13">
      <c r="A164" s="4" cm="1">
        <f t="array" ref="A164">A163+Table4[Salto]</f>
        <v>1.9733622195915719</v>
      </c>
      <c r="B164" s="4">
        <f t="shared" si="60"/>
        <v>29.924992240208823</v>
      </c>
      <c r="C164" s="4">
        <f t="shared" si="61"/>
        <v>14.645051243941108</v>
      </c>
      <c r="D164" s="4">
        <f t="shared" si="62"/>
        <v>36.833637834106639</v>
      </c>
      <c r="E164" s="4">
        <f t="shared" si="63"/>
        <v>40.055195829126866</v>
      </c>
      <c r="F164" s="4">
        <f t="shared" si="64"/>
        <v>-18.222274212816483</v>
      </c>
      <c r="G164" s="4">
        <f t="shared" si="65"/>
        <v>-42.737111133285552</v>
      </c>
      <c r="H164" s="4">
        <f t="shared" si="66"/>
        <v>-15.349602355648516</v>
      </c>
      <c r="I164" s="4">
        <f t="shared" si="67"/>
        <v>20.367732090420176</v>
      </c>
      <c r="J164" s="4">
        <f t="shared" si="68"/>
        <v>25.308679932091998</v>
      </c>
      <c r="K164" s="4">
        <f t="shared" si="69"/>
        <v>1.8600159588496767</v>
      </c>
      <c r="L164" s="4">
        <f t="shared" si="70"/>
        <v>-18.708917983224133</v>
      </c>
      <c r="M164" s="4">
        <f t="shared" si="71"/>
        <v>-14.762304715679559</v>
      </c>
    </row>
    <row r="165" spans="1:13">
      <c r="A165" s="4" cm="1">
        <f t="array" ref="A165">A164+Table4[Salto]</f>
        <v>2.0049360151050371</v>
      </c>
      <c r="B165" s="4">
        <f t="shared" si="60"/>
        <v>32.396835164442713</v>
      </c>
      <c r="C165" s="4">
        <f t="shared" si="61"/>
        <v>19.586655686030181</v>
      </c>
      <c r="D165" s="4">
        <f t="shared" si="62"/>
        <v>36.320141399909176</v>
      </c>
      <c r="E165" s="4">
        <f t="shared" si="63"/>
        <v>42.40522479045746</v>
      </c>
      <c r="F165" s="4">
        <f t="shared" si="64"/>
        <v>-13.604509335820545</v>
      </c>
      <c r="G165" s="4">
        <f t="shared" si="65"/>
        <v>-42.184156735646447</v>
      </c>
      <c r="H165" s="4">
        <f t="shared" si="66"/>
        <v>-20.257694318411193</v>
      </c>
      <c r="I165" s="4">
        <f t="shared" si="67"/>
        <v>15.684553479158776</v>
      </c>
      <c r="J165" s="4">
        <f t="shared" si="68"/>
        <v>26.554053841264633</v>
      </c>
      <c r="K165" s="4">
        <f t="shared" si="69"/>
        <v>7.6777193754573787</v>
      </c>
      <c r="L165" s="4">
        <f t="shared" si="70"/>
        <v>-15.217932690116164</v>
      </c>
      <c r="M165" s="4">
        <f t="shared" si="71"/>
        <v>-17.790744120222879</v>
      </c>
    </row>
    <row r="166" spans="1:13">
      <c r="A166" s="4" cm="1">
        <f t="array" ref="A166">A165+Table4[Salto]</f>
        <v>2.0365098106185022</v>
      </c>
      <c r="B166" s="4">
        <f t="shared" si="60"/>
        <v>35.029386637898675</v>
      </c>
      <c r="C166" s="4">
        <f t="shared" si="61"/>
        <v>26.259930785783578</v>
      </c>
      <c r="D166" s="4">
        <f t="shared" si="62"/>
        <v>35.770440258886467</v>
      </c>
      <c r="E166" s="4">
        <f t="shared" si="63"/>
        <v>44.586214086751305</v>
      </c>
      <c r="F166" s="4">
        <f t="shared" si="64"/>
        <v>-8.8647741174184116</v>
      </c>
      <c r="G166" s="4">
        <f t="shared" si="65"/>
        <v>-40.959238975116875</v>
      </c>
      <c r="H166" s="4">
        <f t="shared" si="66"/>
        <v>-24.661959279287082</v>
      </c>
      <c r="I166" s="4">
        <f t="shared" si="67"/>
        <v>10.440160210753364</v>
      </c>
      <c r="J166" s="4">
        <f t="shared" si="68"/>
        <v>26.507578327837965</v>
      </c>
      <c r="K166" s="4">
        <f t="shared" si="69"/>
        <v>13.008168699149129</v>
      </c>
      <c r="L166" s="4">
        <f t="shared" si="70"/>
        <v>-10.50635719605042</v>
      </c>
      <c r="M166" s="4">
        <f t="shared" si="71"/>
        <v>-19.060301229721862</v>
      </c>
    </row>
    <row r="167" spans="1:13">
      <c r="A167" s="4" cm="1">
        <f t="array" ref="A167">A166+Table4[Salto]</f>
        <v>2.0680836061319674</v>
      </c>
      <c r="B167" s="4">
        <f t="shared" si="60"/>
        <v>37.830358743036442</v>
      </c>
      <c r="C167" s="4">
        <f t="shared" si="61"/>
        <v>34.303498529049875</v>
      </c>
      <c r="D167" s="4">
        <f t="shared" si="62"/>
        <v>35.185082365090601</v>
      </c>
      <c r="E167" s="4">
        <f t="shared" si="63"/>
        <v>46.589469654908484</v>
      </c>
      <c r="F167" s="4">
        <f t="shared" si="64"/>
        <v>-4.0455623446693982</v>
      </c>
      <c r="G167" s="4">
        <f t="shared" si="65"/>
        <v>-39.081869913127584</v>
      </c>
      <c r="H167" s="4">
        <f t="shared" si="66"/>
        <v>-28.452859223935874</v>
      </c>
      <c r="I167" s="4">
        <f t="shared" si="67"/>
        <v>4.8222038096140238</v>
      </c>
      <c r="J167" s="4">
        <f t="shared" si="68"/>
        <v>25.171514416269638</v>
      </c>
      <c r="K167" s="4">
        <f t="shared" si="69"/>
        <v>17.513075549868685</v>
      </c>
      <c r="L167" s="4">
        <f t="shared" si="70"/>
        <v>-4.9520945313684024</v>
      </c>
      <c r="M167" s="4">
        <f t="shared" si="71"/>
        <v>-18.4454612536003</v>
      </c>
    </row>
    <row r="168" spans="1:13">
      <c r="A168" s="4" cm="1">
        <f t="array" ref="A168">A167+Table4[Salto]</f>
        <v>2.0996574016454326</v>
      </c>
      <c r="B168" s="4">
        <f t="shared" si="60"/>
        <v>40.80770643290159</v>
      </c>
      <c r="C168" s="4">
        <f t="shared" si="61"/>
        <v>43.204970251122099</v>
      </c>
      <c r="D168" s="4">
        <f t="shared" si="62"/>
        <v>34.564651216000264</v>
      </c>
      <c r="E168" s="4">
        <f t="shared" si="63"/>
        <v>48.407005930605322</v>
      </c>
      <c r="F168" s="4">
        <f t="shared" si="64"/>
        <v>0.80991965350113626</v>
      </c>
      <c r="G168" s="4">
        <f t="shared" si="65"/>
        <v>-36.581954692412275</v>
      </c>
      <c r="H168" s="4">
        <f t="shared" si="66"/>
        <v>-31.536111075342767</v>
      </c>
      <c r="I168" s="4">
        <f t="shared" si="67"/>
        <v>-0.96829760285045241</v>
      </c>
      <c r="J168" s="4">
        <f t="shared" si="68"/>
        <v>22.610861349350724</v>
      </c>
      <c r="K168" s="4">
        <f t="shared" si="69"/>
        <v>20.906543270825644</v>
      </c>
      <c r="L168" s="4">
        <f t="shared" si="70"/>
        <v>0.99936256059157069</v>
      </c>
      <c r="M168" s="4">
        <f t="shared" si="71"/>
        <v>-16.007010359147081</v>
      </c>
    </row>
    <row r="169" spans="1:13">
      <c r="A169" s="4" cm="1">
        <f t="array" ref="A169">A168+Table4[Salto]</f>
        <v>2.1312311971588977</v>
      </c>
      <c r="B169" s="4">
        <f t="shared" si="60"/>
        <v>43.969631296560976</v>
      </c>
      <c r="C169" s="4">
        <f t="shared" si="61"/>
        <v>52.349027205550023</v>
      </c>
      <c r="D169" s="4">
        <f t="shared" si="62"/>
        <v>33.909765270877806</v>
      </c>
      <c r="E169" s="4">
        <f t="shared" si="63"/>
        <v>50.03157768109623</v>
      </c>
      <c r="F169" s="4">
        <f t="shared" si="64"/>
        <v>5.6581403698267136</v>
      </c>
      <c r="G169" s="4">
        <f t="shared" si="65"/>
        <v>-33.499315169531464</v>
      </c>
      <c r="H169" s="4">
        <f t="shared" si="66"/>
        <v>-33.835031598390323</v>
      </c>
      <c r="I169" s="4">
        <f t="shared" si="67"/>
        <v>-6.724152010035497</v>
      </c>
      <c r="J169" s="4">
        <f t="shared" si="68"/>
        <v>18.950194388009397</v>
      </c>
      <c r="K169" s="4">
        <f t="shared" si="69"/>
        <v>22.973210899297143</v>
      </c>
      <c r="L169" s="4">
        <f t="shared" si="70"/>
        <v>6.8706634201970971</v>
      </c>
      <c r="M169" s="4">
        <f t="shared" si="71"/>
        <v>-11.986026045797068</v>
      </c>
    </row>
    <row r="170" spans="1:13">
      <c r="A170" s="4" cm="1">
        <f t="array" ref="A170">A169+Table4[Salto]</f>
        <v>2.1628049926723629</v>
      </c>
      <c r="B170" s="4">
        <f t="shared" si="60"/>
        <v>47.32458532453817</v>
      </c>
      <c r="C170" s="4">
        <f t="shared" si="61"/>
        <v>61.078880792018211</v>
      </c>
      <c r="D170" s="4">
        <f t="shared" si="62"/>
        <v>33.221077334275542</v>
      </c>
      <c r="E170" s="4">
        <f t="shared" si="63"/>
        <v>51.456708886836722</v>
      </c>
      <c r="F170" s="4">
        <f t="shared" si="64"/>
        <v>10.455633397589876</v>
      </c>
      <c r="G170" s="4">
        <f t="shared" si="65"/>
        <v>-29.88305558125715</v>
      </c>
      <c r="H170" s="4">
        <f t="shared" si="66"/>
        <v>-35.29244458059862</v>
      </c>
      <c r="I170" s="4">
        <f t="shared" si="67"/>
        <v>-12.239407112311371</v>
      </c>
      <c r="J170" s="4">
        <f t="shared" si="68"/>
        <v>14.367604249716045</v>
      </c>
      <c r="K170" s="4">
        <f t="shared" si="69"/>
        <v>23.581920703224281</v>
      </c>
      <c r="L170" s="4">
        <f t="shared" si="70"/>
        <v>12.190886507575541</v>
      </c>
      <c r="M170" s="4">
        <f t="shared" si="71"/>
        <v>-6.7800430130326541</v>
      </c>
    </row>
    <row r="171" spans="1:13">
      <c r="A171" s="4" cm="1">
        <f t="array" ref="A171">A170+Table4[Salto]</f>
        <v>2.1943787881858281</v>
      </c>
      <c r="B171" s="4">
        <f t="shared" si="60"/>
        <v>50.881274674248942</v>
      </c>
      <c r="C171" s="4">
        <f t="shared" si="61"/>
        <v>68.765411620562958</v>
      </c>
      <c r="D171" s="4">
        <f t="shared" si="62"/>
        <v>32.499273905306026</v>
      </c>
      <c r="E171" s="4">
        <f t="shared" si="63"/>
        <v>52.676718556796985</v>
      </c>
      <c r="F171" s="4">
        <f t="shared" si="64"/>
        <v>15.159387125857416</v>
      </c>
      <c r="G171" s="4">
        <f t="shared" si="65"/>
        <v>-25.790780349297908</v>
      </c>
      <c r="H171" s="4">
        <f t="shared" si="66"/>
        <v>-35.87210285574055</v>
      </c>
      <c r="I171" s="4">
        <f t="shared" si="67"/>
        <v>-17.316719580433944</v>
      </c>
      <c r="J171" s="4">
        <f t="shared" si="68"/>
        <v>9.086033030602227</v>
      </c>
      <c r="K171" s="4">
        <f t="shared" si="69"/>
        <v>22.694041895408766</v>
      </c>
      <c r="L171" s="4">
        <f t="shared" si="70"/>
        <v>16.533310775946177</v>
      </c>
      <c r="M171" s="4">
        <f t="shared" si="71"/>
        <v>-0.90375088388224911</v>
      </c>
    </row>
    <row r="172" spans="1:13">
      <c r="A172" s="4" cm="1">
        <f t="array" ref="A172">A171+Table4[Salto]</f>
        <v>2.2259525836992933</v>
      </c>
      <c r="B172" s="4">
        <f t="shared" si="60"/>
        <v>54.648663435436717</v>
      </c>
      <c r="C172" s="4">
        <f t="shared" si="61"/>
        <v>74.877248497206693</v>
      </c>
      <c r="D172" s="4">
        <f t="shared" si="62"/>
        <v>31.745074493324783</v>
      </c>
      <c r="E172" s="4">
        <f t="shared" si="63"/>
        <v>53.68674337455856</v>
      </c>
      <c r="F172" s="4">
        <f t="shared" si="64"/>
        <v>19.727230357273651</v>
      </c>
      <c r="G172" s="4">
        <f t="shared" si="65"/>
        <v>-21.287676483174256</v>
      </c>
      <c r="H172" s="4">
        <f t="shared" si="66"/>
        <v>-35.559589803331427</v>
      </c>
      <c r="I172" s="4">
        <f t="shared" si="67"/>
        <v>-21.774416268285439</v>
      </c>
      <c r="J172" s="4">
        <f t="shared" si="68"/>
        <v>3.3624281169546761</v>
      </c>
      <c r="K172" s="4">
        <f t="shared" si="69"/>
        <v>20.365922274196066</v>
      </c>
      <c r="L172" s="4">
        <f t="shared" si="70"/>
        <v>19.549641840105316</v>
      </c>
      <c r="M172" s="4">
        <f t="shared" si="71"/>
        <v>5.0618905955847744</v>
      </c>
    </row>
    <row r="173" spans="1:13">
      <c r="A173" s="4" cm="1">
        <f t="array" ref="A173">A172+Table4[Salto]</f>
        <v>2.2575263792127584</v>
      </c>
      <c r="B173" s="4">
        <f t="shared" si="60"/>
        <v>58.635977395607867</v>
      </c>
      <c r="C173" s="4">
        <f t="shared" si="61"/>
        <v>79.044640401543759</v>
      </c>
      <c r="D173" s="4">
        <f t="shared" si="62"/>
        <v>30.959230900707752</v>
      </c>
      <c r="E173" s="4">
        <f t="shared" si="63"/>
        <v>54.482757084920202</v>
      </c>
      <c r="F173" s="4">
        <f t="shared" si="64"/>
        <v>24.118210391180764</v>
      </c>
      <c r="G173" s="4">
        <f t="shared" si="65"/>
        <v>-16.445475197908152</v>
      </c>
      <c r="H173" s="4">
        <f t="shared" si="66"/>
        <v>-34.362677902892884</v>
      </c>
      <c r="I173" s="4">
        <f t="shared" si="67"/>
        <v>-25.452994725149011</v>
      </c>
      <c r="J173" s="4">
        <f t="shared" si="68"/>
        <v>-2.5247582538739328</v>
      </c>
      <c r="K173" s="4">
        <f t="shared" si="69"/>
        <v>16.745312201218322</v>
      </c>
      <c r="L173" s="4">
        <f t="shared" si="70"/>
        <v>20.997947749457104</v>
      </c>
      <c r="M173" s="4">
        <f t="shared" si="71"/>
        <v>10.527088153883609</v>
      </c>
    </row>
    <row r="174" spans="1:13">
      <c r="A174" s="4" cm="1">
        <f t="array" ref="A174">A173+Table4[Salto]</f>
        <v>2.2891001747262236</v>
      </c>
      <c r="B174" s="4">
        <f t="shared" si="60"/>
        <v>62.852707805467368</v>
      </c>
      <c r="C174" s="4">
        <f t="shared" si="61"/>
        <v>81.110258929404338</v>
      </c>
      <c r="D174" s="4">
        <f t="shared" si="62"/>
        <v>30.142526473438298</v>
      </c>
      <c r="E174" s="4">
        <f t="shared" si="63"/>
        <v>55.061586543732112</v>
      </c>
      <c r="F174" s="4">
        <f t="shared" si="64"/>
        <v>28.292960182386413</v>
      </c>
      <c r="G174" s="4">
        <f t="shared" si="65"/>
        <v>-11.341309287212436</v>
      </c>
      <c r="H174" s="4">
        <f t="shared" si="66"/>
        <v>-32.311135425425704</v>
      </c>
      <c r="I174" s="4">
        <f t="shared" si="67"/>
        <v>-28.220830410345936</v>
      </c>
      <c r="J174" s="4">
        <f t="shared" si="68"/>
        <v>-8.2891156392691023</v>
      </c>
      <c r="K174" s="4">
        <f t="shared" si="69"/>
        <v>12.061987862689158</v>
      </c>
      <c r="L174" s="4">
        <f t="shared" si="70"/>
        <v>20.762063710994351</v>
      </c>
      <c r="M174" s="4">
        <f t="shared" si="71"/>
        <v>14.951524918417194</v>
      </c>
    </row>
    <row r="175" spans="1:13">
      <c r="A175" s="4" cm="1">
        <f t="array" ref="A175">A174+Table4[Salto]</f>
        <v>2.3206739702396888</v>
      </c>
      <c r="B175" s="4">
        <f t="shared" si="60"/>
        <v>67.308615144354036</v>
      </c>
      <c r="C175" s="4">
        <f t="shared" si="61"/>
        <v>81.161041956285317</v>
      </c>
      <c r="D175" s="4">
        <f t="shared" si="62"/>
        <v>29.295775320250936</v>
      </c>
      <c r="E175" s="4">
        <f t="shared" si="63"/>
        <v>55.420924366979357</v>
      </c>
      <c r="F175" s="4">
        <f t="shared" si="64"/>
        <v>32.21405128384049</v>
      </c>
      <c r="G175" s="4">
        <f t="shared" si="65"/>
        <v>-6.0564844534055142</v>
      </c>
      <c r="H175" s="4">
        <f t="shared" si="66"/>
        <v>-29.455986069847359</v>
      </c>
      <c r="I175" s="4">
        <f t="shared" si="67"/>
        <v>-29.978886398332698</v>
      </c>
      <c r="J175" s="4">
        <f t="shared" si="68"/>
        <v>-13.650209202256466</v>
      </c>
      <c r="K175" s="4">
        <f t="shared" si="69"/>
        <v>6.613168893868469</v>
      </c>
      <c r="L175" s="4">
        <f t="shared" si="70"/>
        <v>18.860909360634292</v>
      </c>
      <c r="M175" s="4">
        <f t="shared" si="71"/>
        <v>17.89777885455382</v>
      </c>
    </row>
    <row r="176" spans="1:13">
      <c r="A176" s="4" cm="1">
        <f t="array" ref="A176">A175+Table4[Salto]</f>
        <v>2.352247765753154</v>
      </c>
      <c r="B176" s="4">
        <f t="shared" si="60"/>
        <v>72.01373288567612</v>
      </c>
      <c r="C176" s="4">
        <f t="shared" si="61"/>
        <v>79.536780637178396</v>
      </c>
      <c r="D176" s="4">
        <f t="shared" si="62"/>
        <v>28.419821501110007</v>
      </c>
      <c r="E176" s="4">
        <f t="shared" si="63"/>
        <v>55.559338128691401</v>
      </c>
      <c r="F176" s="4">
        <f t="shared" si="64"/>
        <v>35.846329408936704</v>
      </c>
      <c r="G176" s="4">
        <f t="shared" si="65"/>
        <v>-0.6751841658848251</v>
      </c>
      <c r="H176" s="4">
        <f t="shared" si="66"/>
        <v>-25.868239957899739</v>
      </c>
      <c r="I176" s="4">
        <f t="shared" si="67"/>
        <v>-30.664257054604029</v>
      </c>
      <c r="J176" s="4">
        <f t="shared" si="68"/>
        <v>-18.347222810382412</v>
      </c>
      <c r="K176" s="4">
        <f t="shared" si="69"/>
        <v>0.74465581367112976</v>
      </c>
      <c r="L176" s="4">
        <f t="shared" si="70"/>
        <v>15.446971269175389</v>
      </c>
      <c r="M176" s="4">
        <f t="shared" si="71"/>
        <v>19.074568504364773</v>
      </c>
    </row>
    <row r="177" spans="1:13">
      <c r="A177" s="4" cm="1">
        <f t="array" ref="A177">A176+Table4[Salto]</f>
        <v>2.3838215612666191</v>
      </c>
      <c r="B177" s="4">
        <f t="shared" si="60"/>
        <v>76.978371262346613</v>
      </c>
      <c r="C177" s="4">
        <f t="shared" si="61"/>
        <v>76.813228343736483</v>
      </c>
      <c r="D177" s="4">
        <f t="shared" si="62"/>
        <v>27.515538185832366</v>
      </c>
      <c r="E177" s="4">
        <f t="shared" si="63"/>
        <v>55.47627607101218</v>
      </c>
      <c r="F177" s="4">
        <f t="shared" si="64"/>
        <v>39.157229604977019</v>
      </c>
      <c r="G177" s="4">
        <f t="shared" si="65"/>
        <v>4.7168713211654296</v>
      </c>
      <c r="H177" s="4">
        <f t="shared" si="66"/>
        <v>-21.637127548819766</v>
      </c>
      <c r="I177" s="4">
        <f t="shared" si="67"/>
        <v>-30.252418884857907</v>
      </c>
      <c r="J177" s="4">
        <f t="shared" si="68"/>
        <v>-22.15164768853224</v>
      </c>
      <c r="K177" s="4">
        <f t="shared" si="69"/>
        <v>-5.1711156482514857</v>
      </c>
      <c r="L177" s="4">
        <f t="shared" si="70"/>
        <v>10.794072397066072</v>
      </c>
      <c r="M177" s="4">
        <f t="shared" si="71"/>
        <v>18.365550534144795</v>
      </c>
    </row>
    <row r="178" spans="1:13">
      <c r="A178" s="4" cm="1">
        <f t="array" ref="A178">A177+Table4[Salto]</f>
        <v>2.4153953567800843</v>
      </c>
      <c r="B178" s="4">
        <f t="shared" si="60"/>
        <v>82.213121032218822</v>
      </c>
      <c r="C178" s="4">
        <f t="shared" si="61"/>
        <v>73.759887901424108</v>
      </c>
      <c r="D178" s="4">
        <f t="shared" si="62"/>
        <v>26.583826783692725</v>
      </c>
      <c r="E178" s="4">
        <f t="shared" si="63"/>
        <v>55.172069303668771</v>
      </c>
      <c r="F178" s="4">
        <f t="shared" si="64"/>
        <v>42.117068212131898</v>
      </c>
      <c r="G178" s="4">
        <f t="shared" si="65"/>
        <v>10.033790430946027</v>
      </c>
      <c r="H178" s="4">
        <f t="shared" si="66"/>
        <v>-16.867880397897228</v>
      </c>
      <c r="I178" s="4">
        <f t="shared" si="67"/>
        <v>-28.758108018977801</v>
      </c>
      <c r="J178" s="4">
        <f t="shared" si="68"/>
        <v>-24.878399325258364</v>
      </c>
      <c r="K178" s="4">
        <f t="shared" si="69"/>
        <v>-10.758710585175471</v>
      </c>
      <c r="L178" s="4">
        <f t="shared" si="70"/>
        <v>5.2754094777254119</v>
      </c>
      <c r="M178" s="4">
        <f t="shared" si="71"/>
        <v>15.840822020568153</v>
      </c>
    </row>
    <row r="179" spans="1:13">
      <c r="A179" s="4" cm="1">
        <f t="array" ref="A179">A178+Table4[Salto]</f>
        <v>2.4469691522935495</v>
      </c>
      <c r="B179" s="4">
        <f t="shared" si="60"/>
        <v>87.728857243521773</v>
      </c>
      <c r="C179" s="4">
        <f t="shared" si="61"/>
        <v>71.275094201238304</v>
      </c>
      <c r="D179" s="4">
        <f t="shared" si="62"/>
        <v>25.62561604487928</v>
      </c>
      <c r="E179" s="4">
        <f t="shared" si="63"/>
        <v>54.647930484070919</v>
      </c>
      <c r="F179" s="4">
        <f t="shared" si="64"/>
        <v>44.69930899035694</v>
      </c>
      <c r="G179" s="4">
        <f t="shared" si="65"/>
        <v>15.190878455260853</v>
      </c>
      <c r="H179" s="4">
        <f t="shared" si="66"/>
        <v>-11.679113953442275</v>
      </c>
      <c r="I179" s="4">
        <f t="shared" si="67"/>
        <v>-26.234792932261747</v>
      </c>
      <c r="J179" s="4">
        <f t="shared" si="68"/>
        <v>-26.394821797343511</v>
      </c>
      <c r="K179" s="4">
        <f t="shared" si="69"/>
        <v>-15.663521284910187</v>
      </c>
      <c r="L179" s="4">
        <f t="shared" si="70"/>
        <v>-0.66638010708754014</v>
      </c>
      <c r="M179" s="4">
        <f t="shared" si="71"/>
        <v>11.749990301715592</v>
      </c>
    </row>
    <row r="180" spans="1:13">
      <c r="A180" s="4" cm="1">
        <f t="array" ref="A180">A179+Table4[Salto]</f>
        <v>2.4785429478070147</v>
      </c>
      <c r="B180" s="4">
        <f t="shared" si="60"/>
        <v>93.536743000295459</v>
      </c>
      <c r="C180" s="4">
        <f t="shared" si="61"/>
        <v>70.303320220080138</v>
      </c>
      <c r="D180" s="4">
        <f t="shared" si="62"/>
        <v>24.641861134695297</v>
      </c>
      <c r="E180" s="4">
        <f t="shared" si="63"/>
        <v>53.905948983302842</v>
      </c>
      <c r="F180" s="4">
        <f t="shared" si="64"/>
        <v>46.88080102832275</v>
      </c>
      <c r="G180" s="4">
        <f t="shared" si="65"/>
        <v>20.105986680476562</v>
      </c>
      <c r="H180" s="4">
        <f t="shared" si="66"/>
        <v>-6.1998774843454534</v>
      </c>
      <c r="I180" s="4">
        <f t="shared" si="67"/>
        <v>-22.772761270650026</v>
      </c>
      <c r="J180" s="4">
        <f t="shared" si="68"/>
        <v>-26.627141454003826</v>
      </c>
      <c r="K180" s="4">
        <f t="shared" si="69"/>
        <v>-19.574271837051405</v>
      </c>
      <c r="L180" s="4">
        <f t="shared" si="70"/>
        <v>-6.5547211029636081</v>
      </c>
      <c r="M180" s="4">
        <f t="shared" si="71"/>
        <v>6.4974955422970337</v>
      </c>
    </row>
    <row r="181" spans="1:13">
      <c r="A181" s="4" cm="1">
        <f t="array" ref="A181">A180+Table4[Salto]</f>
        <v>2.5101167433204798</v>
      </c>
      <c r="B181" s="4">
        <f t="shared" si="60"/>
        <v>99.648233227826651</v>
      </c>
      <c r="C181" s="4">
        <f t="shared" si="61"/>
        <v>71.741570527576499</v>
      </c>
      <c r="D181" s="4">
        <f t="shared" si="62"/>
        <v>23.633542681429628</v>
      </c>
      <c r="E181" s="4">
        <f t="shared" si="63"/>
        <v>52.949082557277251</v>
      </c>
      <c r="F181" s="4">
        <f t="shared" si="64"/>
        <v>48.641986301401033</v>
      </c>
      <c r="G181" s="4">
        <f t="shared" si="65"/>
        <v>24.700820957614813</v>
      </c>
      <c r="H181" s="4">
        <f t="shared" si="66"/>
        <v>-0.56644450917512712</v>
      </c>
      <c r="I181" s="4">
        <f t="shared" si="67"/>
        <v>-18.495889235946905</v>
      </c>
      <c r="J181" s="4">
        <f t="shared" si="68"/>
        <v>-25.564055990283975</v>
      </c>
      <c r="K181" s="4">
        <f t="shared" si="69"/>
        <v>-22.242772757232796</v>
      </c>
      <c r="L181" s="4">
        <f t="shared" si="70"/>
        <v>-11.917325225690984</v>
      </c>
      <c r="M181" s="4">
        <f t="shared" si="71"/>
        <v>0.60262574818355097</v>
      </c>
    </row>
    <row r="182" spans="1:13">
      <c r="A182" s="4" cm="1">
        <f t="array" ref="A182">A181+Table4[Salto]</f>
        <v>2.541690538833945</v>
      </c>
      <c r="B182" s="4">
        <f t="shared" si="60"/>
        <v>106.07507843808398</v>
      </c>
      <c r="C182" s="4">
        <f t="shared" si="61"/>
        <v>76.34309152064445</v>
      </c>
      <c r="D182" s="4">
        <f t="shared" si="62"/>
        <v>22.601665798845033</v>
      </c>
      <c r="E182" s="4">
        <f t="shared" si="63"/>
        <v>51.781145556252625</v>
      </c>
      <c r="F182" s="4">
        <f t="shared" si="64"/>
        <v>49.967075017859216</v>
      </c>
      <c r="G182" s="4">
        <f t="shared" si="65"/>
        <v>28.902188871993978</v>
      </c>
      <c r="H182" s="4">
        <f t="shared" si="66"/>
        <v>5.0810764482850832</v>
      </c>
      <c r="I182" s="4">
        <f t="shared" si="67"/>
        <v>-13.557209126827217</v>
      </c>
      <c r="J182" s="4">
        <f t="shared" si="68"/>
        <v>-23.25728430193859</v>
      </c>
      <c r="K182" s="4">
        <f t="shared" si="69"/>
        <v>-23.499671932968369</v>
      </c>
      <c r="L182" s="4">
        <f t="shared" si="70"/>
        <v>-16.324072157542862</v>
      </c>
      <c r="M182" s="4">
        <f t="shared" si="71"/>
        <v>-5.3518226533144242</v>
      </c>
    </row>
    <row r="183" spans="1:13">
      <c r="A183" s="4" cm="1">
        <f t="array" ref="A183">A182+Table4[Salto]</f>
        <v>2.5732643343474102</v>
      </c>
      <c r="B183" s="4">
        <f t="shared" si="60"/>
        <v>112.82932849515358</v>
      </c>
      <c r="C183" s="4">
        <f t="shared" si="61"/>
        <v>84.627274468495415</v>
      </c>
      <c r="D183" s="4">
        <f t="shared" si="62"/>
        <v>21.547259084258975</v>
      </c>
      <c r="E183" s="4">
        <f t="shared" si="63"/>
        <v>50.406793719714202</v>
      </c>
      <c r="F183" s="4">
        <f t="shared" si="64"/>
        <v>50.844187181208603</v>
      </c>
      <c r="G183" s="4">
        <f t="shared" si="65"/>
        <v>32.643165645902407</v>
      </c>
      <c r="H183" s="4">
        <f t="shared" si="66"/>
        <v>10.602226483514023</v>
      </c>
      <c r="I183" s="4">
        <f t="shared" si="67"/>
        <v>-8.133433635039939</v>
      </c>
      <c r="J183" s="4">
        <f t="shared" si="68"/>
        <v>-19.819050371470421</v>
      </c>
      <c r="K183" s="4">
        <f t="shared" si="69"/>
        <v>-23.265202282679496</v>
      </c>
      <c r="L183" s="4">
        <f t="shared" si="70"/>
        <v>-19.421508362309869</v>
      </c>
      <c r="M183" s="4">
        <f t="shared" si="71"/>
        <v>-10.777162994603069</v>
      </c>
    </row>
    <row r="184" spans="1:13">
      <c r="A184" s="4" cm="1">
        <f t="array" ref="A184">A183+Table4[Salto]</f>
        <v>2.6048381298608754</v>
      </c>
      <c r="B184" s="4">
        <f t="shared" si="60"/>
        <v>119.92333638067444</v>
      </c>
      <c r="C184" s="4">
        <f t="shared" si="61"/>
        <v>96.804472150661368</v>
      </c>
      <c r="D184" s="4">
        <f t="shared" si="62"/>
        <v>20.471373593215429</v>
      </c>
      <c r="E184" s="4">
        <f t="shared" si="63"/>
        <v>48.831505617230668</v>
      </c>
      <c r="F184" s="4">
        <f t="shared" si="64"/>
        <v>51.265459099538319</v>
      </c>
      <c r="G184" s="4">
        <f t="shared" si="65"/>
        <v>35.864160202309847</v>
      </c>
      <c r="H184" s="4">
        <f t="shared" si="66"/>
        <v>15.859689650012884</v>
      </c>
      <c r="I184" s="4">
        <f t="shared" si="67"/>
        <v>-2.4186328249381841</v>
      </c>
      <c r="J184" s="4">
        <f t="shared" si="68"/>
        <v>-15.416623593766875</v>
      </c>
      <c r="K184" s="4">
        <f t="shared" si="69"/>
        <v>-21.554244045038757</v>
      </c>
      <c r="L184" s="4">
        <f t="shared" si="70"/>
        <v>-20.96119666021087</v>
      </c>
      <c r="M184" s="4">
        <f t="shared" si="71"/>
        <v>-15.137018887691102</v>
      </c>
    </row>
    <row r="185" spans="1:13">
      <c r="A185" s="4" cm="1">
        <f t="array" ref="A185">A184+Table4[Salto]</f>
        <v>2.6364119253743405</v>
      </c>
      <c r="B185" s="4">
        <f t="shared" si="60"/>
        <v>127.36976195927392</v>
      </c>
      <c r="C185" s="4">
        <f t="shared" si="61"/>
        <v>112.72348159593362</v>
      </c>
      <c r="D185" s="4">
        <f t="shared" si="62"/>
        <v>19.375081791769844</v>
      </c>
      <c r="E185" s="4">
        <f t="shared" si="63"/>
        <v>47.061560809268848</v>
      </c>
      <c r="F185" s="4">
        <f t="shared" si="64"/>
        <v>51.22711388693245</v>
      </c>
      <c r="G185" s="4">
        <f t="shared" si="65"/>
        <v>38.513864407986588</v>
      </c>
      <c r="H185" s="4">
        <f t="shared" si="66"/>
        <v>20.72270812988431</v>
      </c>
      <c r="I185" s="4">
        <f t="shared" si="67"/>
        <v>3.3827099573917101</v>
      </c>
      <c r="J185" s="4">
        <f t="shared" si="68"/>
        <v>-10.264181153404257</v>
      </c>
      <c r="K185" s="4">
        <f t="shared" si="69"/>
        <v>-18.475380428591599</v>
      </c>
      <c r="L185" s="4">
        <f t="shared" si="70"/>
        <v>-20.819642718131366</v>
      </c>
      <c r="M185" s="4">
        <f t="shared" si="71"/>
        <v>-18.000353087172908</v>
      </c>
    </row>
    <row r="186" spans="1:13">
      <c r="A186" s="4" cm="1">
        <f t="array" ref="A186">A185+Table4[Salto]</f>
        <v>2.6679857208878057</v>
      </c>
      <c r="B186" s="4">
        <f t="shared" si="60"/>
        <v>135.18157574400314</v>
      </c>
      <c r="C186" s="4">
        <f t="shared" si="61"/>
        <v>131.84772897554768</v>
      </c>
      <c r="D186" s="4">
        <f t="shared" si="62"/>
        <v>18.25947648743168</v>
      </c>
      <c r="E186" s="4">
        <f t="shared" si="63"/>
        <v>45.104014815023596</v>
      </c>
      <c r="F186" s="4">
        <f t="shared" si="64"/>
        <v>50.72949532489443</v>
      </c>
      <c r="G186" s="4">
        <f t="shared" si="65"/>
        <v>40.550070375268319</v>
      </c>
      <c r="H186" s="4">
        <f t="shared" si="66"/>
        <v>25.070334297879285</v>
      </c>
      <c r="I186" s="4">
        <f t="shared" si="67"/>
        <v>9.0630147763853941</v>
      </c>
      <c r="J186" s="4">
        <f t="shared" si="68"/>
        <v>-4.612388347340703</v>
      </c>
      <c r="K186" s="4">
        <f t="shared" si="69"/>
        <v>-14.224006553331513</v>
      </c>
      <c r="L186" s="4">
        <f t="shared" si="70"/>
        <v>-19.008200204018738</v>
      </c>
      <c r="M186" s="4">
        <f t="shared" si="71"/>
        <v>-19.084081996644073</v>
      </c>
    </row>
    <row r="187" spans="1:13">
      <c r="A187" s="4" cm="1">
        <f t="array" ref="A187">A186+Table4[Salto]</f>
        <v>2.6995595164012709</v>
      </c>
      <c r="B187" s="4">
        <f t="shared" si="60"/>
        <v>143.37206266177236</v>
      </c>
      <c r="C187" s="4">
        <f t="shared" si="61"/>
        <v>153.26386405112319</v>
      </c>
      <c r="D187" s="4">
        <f t="shared" si="62"/>
        <v>17.125669739830094</v>
      </c>
      <c r="E187" s="4">
        <f t="shared" si="63"/>
        <v>42.966670987048666</v>
      </c>
      <c r="F187" s="4">
        <f t="shared" si="64"/>
        <v>49.777064780196369</v>
      </c>
      <c r="G187" s="4">
        <f t="shared" si="65"/>
        <v>41.940342803435712</v>
      </c>
      <c r="H187" s="4">
        <f t="shared" si="66"/>
        <v>28.794438797165892</v>
      </c>
      <c r="I187" s="4">
        <f t="shared" si="67"/>
        <v>14.419032599438898</v>
      </c>
      <c r="J187" s="4">
        <f t="shared" si="68"/>
        <v>1.263796231780733</v>
      </c>
      <c r="K187" s="4">
        <f t="shared" si="69"/>
        <v>-9.069929014151537</v>
      </c>
      <c r="L187" s="4">
        <f t="shared" si="70"/>
        <v>-15.672160139153439</v>
      </c>
      <c r="M187" s="4">
        <f t="shared" si="71"/>
        <v>-18.281062734468179</v>
      </c>
    </row>
    <row r="188" spans="1:13">
      <c r="A188" s="4" cm="1">
        <f t="array" ref="A188">A187+Table4[Salto]</f>
        <v>2.7311333119147361</v>
      </c>
      <c r="B188" s="4">
        <f t="shared" si="60"/>
        <v>151.95482581878662</v>
      </c>
      <c r="C188" s="4">
        <f t="shared" si="61"/>
        <v>175.72372668102707</v>
      </c>
      <c r="D188" s="4">
        <f t="shared" si="62"/>
        <v>15.974791752188731</v>
      </c>
      <c r="E188" s="4">
        <f t="shared" si="63"/>
        <v>40.65804940480443</v>
      </c>
      <c r="F188" s="4">
        <f t="shared" si="64"/>
        <v>48.378361206786167</v>
      </c>
      <c r="G188" s="4">
        <f t="shared" si="65"/>
        <v>42.662535649792694</v>
      </c>
      <c r="H188" s="4">
        <f t="shared" si="66"/>
        <v>31.802399813282154</v>
      </c>
      <c r="I188" s="4">
        <f t="shared" si="67"/>
        <v>19.25911782374834</v>
      </c>
      <c r="J188" s="4">
        <f t="shared" si="68"/>
        <v>7.0784973763175172</v>
      </c>
      <c r="K188" s="4">
        <f t="shared" si="69"/>
        <v>-3.3402430399030143</v>
      </c>
      <c r="L188" s="4">
        <f t="shared" si="70"/>
        <v>-11.079097488946044</v>
      </c>
      <c r="M188" s="4">
        <f t="shared" si="71"/>
        <v>-15.670685817043891</v>
      </c>
    </row>
    <row r="189" spans="1:13">
      <c r="A189" s="4" cm="1">
        <f t="array" ref="A189">A188+Table4[Salto]</f>
        <v>2.7627071074282012</v>
      </c>
      <c r="B189" s="4">
        <f t="shared" si="60"/>
        <v>160.94379026598085</v>
      </c>
      <c r="C189" s="4">
        <f t="shared" si="61"/>
        <v>197.71772564341711</v>
      </c>
      <c r="D189" s="4">
        <f t="shared" si="62"/>
        <v>14.807989744714568</v>
      </c>
      <c r="E189" s="4">
        <f t="shared" si="63"/>
        <v>38.187352911121863</v>
      </c>
      <c r="F189" s="4">
        <f t="shared" si="64"/>
        <v>46.545924590352726</v>
      </c>
      <c r="G189" s="4">
        <f t="shared" si="65"/>
        <v>42.705144900243774</v>
      </c>
      <c r="H189" s="4">
        <f t="shared" si="66"/>
        <v>34.019406661619989</v>
      </c>
      <c r="I189" s="4">
        <f t="shared" si="67"/>
        <v>23.410085616648946</v>
      </c>
      <c r="J189" s="4">
        <f t="shared" si="68"/>
        <v>12.548831035455191</v>
      </c>
      <c r="K189" s="4">
        <f t="shared" si="69"/>
        <v>2.6014260784194359</v>
      </c>
      <c r="L189" s="4">
        <f t="shared" si="70"/>
        <v>-5.5974096814432706</v>
      </c>
      <c r="M189" s="4">
        <f t="shared" si="71"/>
        <v>-11.511026213716079</v>
      </c>
    </row>
    <row r="190" spans="1:13">
      <c r="A190" s="4" cm="1">
        <f t="array" ref="A190">A189+Table4[Salto]</f>
        <v>2.7942809029416664</v>
      </c>
      <c r="B190" s="4">
        <f t="shared" si="60"/>
        <v>170.35320676445576</v>
      </c>
      <c r="C190" s="4">
        <f t="shared" si="61"/>
        <v>217.57483094766428</v>
      </c>
      <c r="D190" s="4">
        <f t="shared" si="62"/>
        <v>13.62642681102386</v>
      </c>
      <c r="E190" s="4">
        <f t="shared" si="63"/>
        <v>35.564430426971512</v>
      </c>
      <c r="F190" s="4">
        <f t="shared" si="64"/>
        <v>44.296183521901675</v>
      </c>
      <c r="G190" s="4">
        <f t="shared" si="65"/>
        <v>42.067491819988042</v>
      </c>
      <c r="H190" s="4">
        <f t="shared" si="66"/>
        <v>35.390320396156987</v>
      </c>
      <c r="I190" s="4">
        <f t="shared" si="67"/>
        <v>26.723408704488865</v>
      </c>
      <c r="J190" s="4">
        <f t="shared" si="68"/>
        <v>17.408666567852794</v>
      </c>
      <c r="K190" s="4">
        <f t="shared" si="69"/>
        <v>8.3779998810443566</v>
      </c>
      <c r="L190" s="4">
        <f t="shared" si="70"/>
        <v>0.33323157769044887</v>
      </c>
      <c r="M190" s="4">
        <f t="shared" si="71"/>
        <v>-6.213328759454261</v>
      </c>
    </row>
    <row r="191" spans="1:13">
      <c r="A191" s="4" cm="1">
        <f t="array" ref="A191">A190+Table4[Salto]</f>
        <v>2.8258546984551316</v>
      </c>
      <c r="B191" s="4">
        <f t="shared" si="60"/>
        <v>180.19765555091274</v>
      </c>
      <c r="C191" s="4">
        <f t="shared" si="61"/>
        <v>233.58188331505809</v>
      </c>
      <c r="D191" s="4">
        <f t="shared" si="62"/>
        <v>12.431280758745126</v>
      </c>
      <c r="E191" s="4">
        <f t="shared" si="63"/>
        <v>32.799737690775451</v>
      </c>
      <c r="F191" s="4">
        <f t="shared" si="64"/>
        <v>41.649307908294155</v>
      </c>
      <c r="G191" s="4">
        <f t="shared" si="65"/>
        <v>40.75973376527778</v>
      </c>
      <c r="H191" s="4">
        <f t="shared" si="66"/>
        <v>35.881045164430368</v>
      </c>
      <c r="I191" s="4">
        <f t="shared" si="67"/>
        <v>29.080531880502296</v>
      </c>
      <c r="J191" s="4">
        <f t="shared" si="68"/>
        <v>21.421573944257943</v>
      </c>
      <c r="K191" s="4">
        <f t="shared" si="69"/>
        <v>13.622877416475999</v>
      </c>
      <c r="L191" s="4">
        <f t="shared" si="70"/>
        <v>6.2371452118135942</v>
      </c>
      <c r="M191" s="4">
        <f t="shared" si="71"/>
        <v>-0.30135042551461416</v>
      </c>
    </row>
    <row r="192" spans="1:13">
      <c r="A192" s="4" cm="1">
        <f t="array" ref="A192">A191+Table4[Salto]</f>
        <v>2.8574284939685968</v>
      </c>
      <c r="B192" s="4">
        <f t="shared" si="60"/>
        <v>190.49205010308981</v>
      </c>
      <c r="C192" s="4">
        <f t="shared" si="61"/>
        <v>244.11300113457858</v>
      </c>
      <c r="D192" s="4">
        <f t="shared" si="62"/>
        <v>11.223742935454904</v>
      </c>
      <c r="E192" s="4">
        <f t="shared" si="63"/>
        <v>29.904295578766881</v>
      </c>
      <c r="F192" s="4">
        <f t="shared" si="64"/>
        <v>38.629028140261823</v>
      </c>
      <c r="G192" s="4">
        <f t="shared" si="65"/>
        <v>38.80270238401809</v>
      </c>
      <c r="H192" s="4">
        <f t="shared" si="66"/>
        <v>35.479376201926236</v>
      </c>
      <c r="I192" s="4">
        <f t="shared" si="67"/>
        <v>30.397114071363166</v>
      </c>
      <c r="J192" s="4">
        <f t="shared" si="68"/>
        <v>24.392326021269461</v>
      </c>
      <c r="K192" s="4">
        <f t="shared" si="69"/>
        <v>18.003200980361264</v>
      </c>
      <c r="L192" s="4">
        <f t="shared" si="70"/>
        <v>11.640793896517208</v>
      </c>
      <c r="M192" s="4">
        <f t="shared" si="71"/>
        <v>5.6404209246395256</v>
      </c>
    </row>
    <row r="193" spans="1:13">
      <c r="A193" s="4" cm="1">
        <f t="array" ref="A193">A192+Table4[Salto]</f>
        <v>2.8890022894820619</v>
      </c>
      <c r="B193" s="4">
        <f t="shared" si="60"/>
        <v>201.25164090519675</v>
      </c>
      <c r="C193" s="4">
        <f t="shared" si="61"/>
        <v>247.75870076130929</v>
      </c>
      <c r="D193" s="4">
        <f>$P$2*SIN($O$2*$A193)</f>
        <v>10.00501704111656</v>
      </c>
      <c r="E193" s="4">
        <f t="shared" si="63"/>
        <v>26.889646172544591</v>
      </c>
      <c r="F193" s="4">
        <f t="shared" si="64"/>
        <v>35.262422339136045</v>
      </c>
      <c r="G193" s="4">
        <f t="shared" si="65"/>
        <v>36.227571782555913</v>
      </c>
      <c r="H193" s="4">
        <f t="shared" si="66"/>
        <v>34.195303375504487</v>
      </c>
      <c r="I193" s="4">
        <f t="shared" si="67"/>
        <v>30.626046175506819</v>
      </c>
      <c r="J193" s="4">
        <f t="shared" si="68"/>
        <v>26.176396302921269</v>
      </c>
      <c r="K193" s="4">
        <f t="shared" si="69"/>
        <v>21.240980393530297</v>
      </c>
      <c r="L193" s="4">
        <f t="shared" si="70"/>
        <v>16.110765238128888</v>
      </c>
      <c r="M193" s="4">
        <f t="shared" si="71"/>
        <v>11.024551940364443</v>
      </c>
    </row>
    <row r="194" spans="1:13">
      <c r="A194" s="4" cm="1">
        <f t="array" ref="A194">A193+Table4[Salto]</f>
        <v>2.9205760849955271</v>
      </c>
      <c r="B194" s="4">
        <f t="shared" ref="B194:B201" si="72">A194^5</f>
        <v>212.49201921335057</v>
      </c>
      <c r="C194" s="4">
        <f t="shared" ref="C194:C201" si="73">SUM(D194:M194)</f>
        <v>243.44405998751324</v>
      </c>
      <c r="D194" s="4">
        <f t="shared" ref="D194:D201" si="74">$P$2*SIN($O$2*$A194)</f>
        <v>8.7763179282059962</v>
      </c>
      <c r="E194" s="4">
        <f t="shared" ref="E194:E201" si="75">$P$3*SIN($O$3*$A194)</f>
        <v>23.76780674895004</v>
      </c>
      <c r="F194" s="4">
        <f t="shared" ref="F194:F201" si="76">$P$4*SIN($O$4*$A194)</f>
        <v>31.579673589716748</v>
      </c>
      <c r="G194" s="4">
        <f t="shared" ref="G194:G201" si="77">$P$5*SIN($O$5*$A194)</f>
        <v>33.075361944523593</v>
      </c>
      <c r="H194" s="4">
        <f t="shared" ref="H194:H201" si="78">$P$6*SIN($O$6*$A194)</f>
        <v>32.060762726462364</v>
      </c>
      <c r="I194" s="4">
        <f t="shared" ref="I194:I201" si="79">$P$7*SIN($O$7*$A194)</f>
        <v>29.759136690860426</v>
      </c>
      <c r="J194" s="4">
        <f t="shared" ref="J194:J201" si="80">$P$8*SIN($O$8*$A194)</f>
        <v>26.686990125882208</v>
      </c>
      <c r="K194" s="4">
        <f t="shared" ref="K194:K201" si="81">$P$9*SIN($O$9*$A194)</f>
        <v>23.130735200931738</v>
      </c>
      <c r="L194" s="4">
        <f t="shared" ref="L194:L201" si="82">$P$10*SIN($O$10*$A194)</f>
        <v>19.288534637464714</v>
      </c>
      <c r="M194" s="4">
        <f t="shared" ref="M194:M201" si="83">$P$11*SIN($O$11*$A194)</f>
        <v>15.318740394515402</v>
      </c>
    </row>
    <row r="195" spans="1:13">
      <c r="A195" s="4" cm="1">
        <f t="array" ref="A195">A194+Table4[Salto]</f>
        <v>2.9521498805089923</v>
      </c>
      <c r="B195" s="4">
        <f t="shared" si="72"/>
        <v>224.22912082101109</v>
      </c>
      <c r="C195" s="4">
        <f t="shared" si="73"/>
        <v>230.52588914060368</v>
      </c>
      <c r="D195" s="4">
        <f t="shared" si="74"/>
        <v>7.5388703907202848</v>
      </c>
      <c r="E195" s="4">
        <f t="shared" si="75"/>
        <v>20.551221875676735</v>
      </c>
      <c r="F195" s="4">
        <f t="shared" si="76"/>
        <v>27.613799335793345</v>
      </c>
      <c r="G195" s="4">
        <f t="shared" si="77"/>
        <v>29.396285311918607</v>
      </c>
      <c r="H195" s="4">
        <f t="shared" si="78"/>
        <v>29.128842192583384</v>
      </c>
      <c r="I195" s="4">
        <f t="shared" si="79"/>
        <v>27.827404817928922</v>
      </c>
      <c r="J195" s="4">
        <f t="shared" si="80"/>
        <v>25.899267202514192</v>
      </c>
      <c r="K195" s="4">
        <f t="shared" si="81"/>
        <v>23.552535157725259</v>
      </c>
      <c r="L195" s="4">
        <f t="shared" si="82"/>
        <v>20.919221601312003</v>
      </c>
      <c r="M195" s="4">
        <f t="shared" si="83"/>
        <v>18.098441254430959</v>
      </c>
    </row>
    <row r="196" spans="1:13">
      <c r="A196" s="4" cm="1">
        <f t="array" ref="A196">A195+Table4[Salto]</f>
        <v>2.9837236760224575</v>
      </c>
      <c r="B196" s="4">
        <f t="shared" si="72"/>
        <v>236.47922982441628</v>
      </c>
      <c r="C196" s="4">
        <f t="shared" si="73"/>
        <v>208.86038973677574</v>
      </c>
      <c r="D196" s="4">
        <f t="shared" si="74"/>
        <v>6.2939079432763707</v>
      </c>
      <c r="E196" s="4">
        <f t="shared" si="75"/>
        <v>17.252713803572938</v>
      </c>
      <c r="F196" s="4">
        <f t="shared" si="76"/>
        <v>23.40035536440568</v>
      </c>
      <c r="G196" s="4">
        <f t="shared" si="77"/>
        <v>25.248946936914194</v>
      </c>
      <c r="H196" s="4">
        <f t="shared" si="78"/>
        <v>25.472461263575287</v>
      </c>
      <c r="I196" s="4">
        <f t="shared" si="79"/>
        <v>24.899970550609609</v>
      </c>
      <c r="J196" s="4">
        <f t="shared" si="80"/>
        <v>23.851550095910785</v>
      </c>
      <c r="K196" s="4">
        <f t="shared" si="81"/>
        <v>22.479611409087067</v>
      </c>
      <c r="L196" s="4">
        <f t="shared" si="82"/>
        <v>20.872033033825758</v>
      </c>
      <c r="M196" s="4">
        <f t="shared" si="83"/>
        <v>19.088839335598042</v>
      </c>
    </row>
    <row r="197" spans="1:13">
      <c r="A197" s="4" cm="1">
        <f t="array" ref="A197">A196+Table4[Salto]</f>
        <v>3.0152974715359226</v>
      </c>
      <c r="B197" s="4">
        <f t="shared" si="72"/>
        <v>249.25898238801764</v>
      </c>
      <c r="C197" s="4">
        <f t="shared" si="73"/>
        <v>178.8350576833347</v>
      </c>
      <c r="D197" s="4">
        <f t="shared" si="74"/>
        <v>5.0426715915168749</v>
      </c>
      <c r="E197" s="4">
        <f t="shared" si="75"/>
        <v>13.88543135338856</v>
      </c>
      <c r="F197" s="4">
        <f t="shared" si="76"/>
        <v>18.977117032753444</v>
      </c>
      <c r="G197" s="4">
        <f t="shared" si="77"/>
        <v>20.699410945409017</v>
      </c>
      <c r="H197" s="4">
        <f t="shared" si="78"/>
        <v>21.182557408049327</v>
      </c>
      <c r="I197" s="4">
        <f t="shared" si="79"/>
        <v>21.08158146879564</v>
      </c>
      <c r="J197" s="4">
        <f t="shared" si="80"/>
        <v>20.64345983484694</v>
      </c>
      <c r="K197" s="4">
        <f t="shared" si="81"/>
        <v>19.980055332462115</v>
      </c>
      <c r="L197" s="4">
        <f t="shared" si="82"/>
        <v>19.150753805411405</v>
      </c>
      <c r="M197" s="4">
        <f t="shared" si="83"/>
        <v>18.192018910701407</v>
      </c>
    </row>
    <row r="198" spans="1:13">
      <c r="A198" s="4" cm="1">
        <f t="array" ref="A198">A197+Table4[Salto]</f>
        <v>3.0468712670493878</v>
      </c>
      <c r="B198" s="4">
        <f t="shared" si="72"/>
        <v>262.58537050991578</v>
      </c>
      <c r="C198" s="4">
        <f t="shared" si="73"/>
        <v>141.3614379059845</v>
      </c>
      <c r="D198" s="4">
        <f t="shared" si="74"/>
        <v>3.7864085950486874</v>
      </c>
      <c r="E198" s="4">
        <f t="shared" si="75"/>
        <v>10.462797500718615</v>
      </c>
      <c r="F198" s="4">
        <f t="shared" si="76"/>
        <v>14.383740595693983</v>
      </c>
      <c r="G198" s="4">
        <f t="shared" si="77"/>
        <v>15.820148182881885</v>
      </c>
      <c r="H198" s="4">
        <f t="shared" si="78"/>
        <v>16.365824377226229</v>
      </c>
      <c r="I198" s="4">
        <f t="shared" si="79"/>
        <v>16.508864727492604</v>
      </c>
      <c r="J198" s="4">
        <f t="shared" si="80"/>
        <v>16.431069370600603</v>
      </c>
      <c r="K198" s="4">
        <f t="shared" si="81"/>
        <v>16.212497227975941</v>
      </c>
      <c r="L198" s="4">
        <f t="shared" si="82"/>
        <v>15.893443178262947</v>
      </c>
      <c r="M198" s="4">
        <f t="shared" si="83"/>
        <v>15.496644150082988</v>
      </c>
    </row>
    <row r="199" spans="1:13">
      <c r="A199" s="4" cm="1">
        <f t="array" ref="A199">A198+Table4[Salto]</f>
        <v>3.078445062562853</v>
      </c>
      <c r="B199" s="4">
        <f t="shared" si="72"/>
        <v>276.47574578729581</v>
      </c>
      <c r="C199" s="4">
        <f t="shared" si="73"/>
        <v>97.828518090448824</v>
      </c>
      <c r="D199" s="4">
        <f t="shared" si="74"/>
        <v>2.5263712241474563</v>
      </c>
      <c r="E199" s="4">
        <f t="shared" si="75"/>
        <v>6.9984558680850375</v>
      </c>
      <c r="F199" s="4">
        <f t="shared" si="76"/>
        <v>9.6614076701755263</v>
      </c>
      <c r="G199" s="4">
        <f t="shared" si="77"/>
        <v>10.688881805798401</v>
      </c>
      <c r="H199" s="4">
        <f t="shared" si="78"/>
        <v>11.142058635780739</v>
      </c>
      <c r="I199" s="4">
        <f t="shared" si="79"/>
        <v>11.345438351376693</v>
      </c>
      <c r="J199" s="4">
        <f t="shared" si="80"/>
        <v>11.419310659005454</v>
      </c>
      <c r="K199" s="4">
        <f t="shared" si="81"/>
        <v>11.416039101958411</v>
      </c>
      <c r="L199" s="4">
        <f t="shared" si="82"/>
        <v>11.361361437461969</v>
      </c>
      <c r="M199" s="4">
        <f t="shared" si="83"/>
        <v>11.269193336659123</v>
      </c>
    </row>
    <row r="200" spans="1:13">
      <c r="A200" s="4" cm="1">
        <f t="array" ref="A200">A199+Table4[Salto]</f>
        <v>3.1100188580763182</v>
      </c>
      <c r="B200" s="4">
        <f t="shared" si="72"/>
        <v>290.94782318186253</v>
      </c>
      <c r="C200" s="4">
        <f t="shared" si="73"/>
        <v>50.019787339397631</v>
      </c>
      <c r="D200" s="4">
        <f t="shared" si="74"/>
        <v>1.2638155114673519</v>
      </c>
      <c r="E200" s="4">
        <f t="shared" si="75"/>
        <v>3.5062163374551303</v>
      </c>
      <c r="F200" s="4">
        <f t="shared" si="76"/>
        <v>4.852456024135261</v>
      </c>
      <c r="G200" s="4">
        <f t="shared" si="77"/>
        <v>5.3873492074704448</v>
      </c>
      <c r="H200" s="4">
        <f t="shared" si="78"/>
        <v>5.6411799164673981</v>
      </c>
      <c r="I200" s="4">
        <f t="shared" si="79"/>
        <v>5.7760567593231968</v>
      </c>
      <c r="J200" s="4">
        <f t="shared" si="80"/>
        <v>5.8520047616772608</v>
      </c>
      <c r="K200" s="4">
        <f t="shared" si="81"/>
        <v>5.8950804432567949</v>
      </c>
      <c r="L200" s="4">
        <f t="shared" si="82"/>
        <v>5.9180148933205787</v>
      </c>
      <c r="M200" s="4">
        <f t="shared" si="83"/>
        <v>5.9276134848242137</v>
      </c>
    </row>
    <row r="201" spans="1:13">
      <c r="A201" s="3" cm="1">
        <f t="array" ref="A201">A200+Table4[Salto]</f>
        <v>3.1415926535897833</v>
      </c>
      <c r="B201" s="4">
        <f t="shared" si="72"/>
        <v>306.01968478527658</v>
      </c>
      <c r="C201" s="4">
        <f t="shared" si="73"/>
        <v>1.5749541369059294E-11</v>
      </c>
      <c r="D201" s="4">
        <f t="shared" si="74"/>
        <v>3.9603349398897036E-13</v>
      </c>
      <c r="E201" s="4">
        <f t="shared" si="75"/>
        <v>1.0992676717745119E-12</v>
      </c>
      <c r="F201" s="4">
        <f t="shared" si="76"/>
        <v>1.477036820228616E-12</v>
      </c>
      <c r="G201" s="4">
        <f t="shared" si="77"/>
        <v>1.6924129927968892E-12</v>
      </c>
      <c r="H201" s="4">
        <f t="shared" si="78"/>
        <v>1.8066782067073647E-12</v>
      </c>
      <c r="I201" s="4">
        <f t="shared" si="79"/>
        <v>1.7660880899552103E-12</v>
      </c>
      <c r="J201" s="4">
        <f t="shared" si="80"/>
        <v>1.824802571541166E-12</v>
      </c>
      <c r="K201" s="4">
        <f t="shared" si="81"/>
        <v>1.8667828715884833E-12</v>
      </c>
      <c r="L201" s="4">
        <f t="shared" si="82"/>
        <v>1.8981206209491458E-12</v>
      </c>
      <c r="M201" s="4">
        <f t="shared" si="83"/>
        <v>1.9223180295289373E-12</v>
      </c>
    </row>
  </sheetData>
  <pageMargins left="0.75" right="0.75" top="1" bottom="1" header="0.5" footer="0.5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Serie_Fourier_Said_Carbot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 Carbot</cp:lastModifiedBy>
  <dcterms:created xsi:type="dcterms:W3CDTF">2026-09-01T11:39:03Z</dcterms:created>
  <dcterms:modified xsi:type="dcterms:W3CDTF">2026-09-17T15:18:04Z</dcterms:modified>
</cp:coreProperties>
</file>